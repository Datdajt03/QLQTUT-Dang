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đối tượng Đảng" sheetId="1" r:id="rId5"/>
    <sheet state="hidden" name="2022" sheetId="2" r:id="rId6"/>
    <sheet state="hidden" name="2023" sheetId="3" r:id="rId7"/>
    <sheet state="hidden" name="2024" sheetId="4" r:id="rId8"/>
    <sheet state="hidden" name="2024(v1)" sheetId="5" r:id="rId9"/>
  </sheets>
  <definedNames>
    <definedName hidden="1" localSheetId="0" name="_xlnm._FilterDatabase">'Danh sách đối tượng Đảng'!$A$1:$AG$22</definedName>
  </definedNames>
  <calcPr/>
</workbook>
</file>

<file path=xl/sharedStrings.xml><?xml version="1.0" encoding="utf-8"?>
<sst xmlns="http://schemas.openxmlformats.org/spreadsheetml/2006/main" count="3076" uniqueCount="297">
  <si>
    <t>STT</t>
  </si>
  <si>
    <t>Mã GV/SV</t>
  </si>
  <si>
    <t>Họ và tên</t>
  </si>
  <si>
    <t>Số điện thoại</t>
  </si>
  <si>
    <t>Ngày, tháng, năm sinh</t>
  </si>
  <si>
    <t>Dân tộc</t>
  </si>
  <si>
    <t>SĐT</t>
  </si>
  <si>
    <t>Quê quán</t>
  </si>
  <si>
    <t>Giới tính</t>
  </si>
  <si>
    <t>Chức vụ</t>
  </si>
  <si>
    <t>Lớp</t>
  </si>
  <si>
    <t>Số Báo cáo CB công nhận đối tượng cảm tình Đảng</t>
  </si>
  <si>
    <t>Ngày họp CB công nhận đối tượng cảm tình Đảng</t>
  </si>
  <si>
    <t>Đảng viên được giúp đỡ</t>
  </si>
  <si>
    <t>Ngày được phân công giúp đỡ</t>
  </si>
  <si>
    <t>Thời gian lớp bồi dưỡng CC ĐT Đảng</t>
  </si>
  <si>
    <t>Ngày cấp CC BĐ</t>
  </si>
  <si>
    <t>Tên chi bộ công nhận</t>
  </si>
  <si>
    <t>Số QĐ của CC BD</t>
  </si>
  <si>
    <t>Mã số</t>
  </si>
  <si>
    <t>Số QĐ mở lớp Bồi dưỡng nhận thức về Đảng</t>
  </si>
  <si>
    <t>Ngày QĐ mở lớp Bồi dưỡng</t>
  </si>
  <si>
    <t>Quàng Thị Hương Duyên</t>
  </si>
  <si>
    <t>Đơn vị cấp CC</t>
  </si>
  <si>
    <t>Tên đơn vị công tác/học khi cấp chứng chỉ</t>
  </si>
  <si>
    <t>Tên chi bộ sinh hoạt khi cấp CC</t>
  </si>
  <si>
    <t>Chiềng Cọ, TP Sơn La, Sơn La</t>
  </si>
  <si>
    <t>Tên Đảng uỷ sinh hoạt khi cấp CC</t>
  </si>
  <si>
    <t>Tên tỉnh uỷ sinh hoạt khi cấp CC</t>
  </si>
  <si>
    <t>K61 ĐHSP Toán</t>
  </si>
  <si>
    <t>07-BC/CB-KHTN-CN</t>
  </si>
  <si>
    <t>Kết nạp Đảng</t>
  </si>
  <si>
    <t>24/02/2023</t>
  </si>
  <si>
    <t>Ngày quyết định</t>
  </si>
  <si>
    <t>Hoàng Thị Thanh</t>
  </si>
  <si>
    <t>Số QĐ Kết nạp đảng viên</t>
  </si>
  <si>
    <t>Ngày kết nạp Đảng</t>
  </si>
  <si>
    <t>Đảng viên hướng dẫn</t>
  </si>
  <si>
    <t>Ngày chuyển sinh hoạt</t>
  </si>
  <si>
    <t>Nơi chuyển tới</t>
  </si>
  <si>
    <t>09/9/2022 - 18/9/2022</t>
  </si>
  <si>
    <t>3/10/2022</t>
  </si>
  <si>
    <t>ĐU05</t>
  </si>
  <si>
    <t>Cù Kim Anh</t>
  </si>
  <si>
    <t>Văn Lương, Tam Nông, Phú Thọ</t>
  </si>
  <si>
    <t>LP ĐS</t>
  </si>
  <si>
    <t>35-BC/CB-KHTN-CN</t>
  </si>
  <si>
    <t>27/5/2022</t>
  </si>
  <si>
    <t>280/CN</t>
  </si>
  <si>
    <t>Đặng Hồng Hà</t>
  </si>
  <si>
    <t>Vũ Quý, Kiến Xương, Thái Bình</t>
  </si>
  <si>
    <t>279/CN</t>
  </si>
  <si>
    <t>Giàng A Tuấn</t>
  </si>
  <si>
    <t>Mường Và, Sốp Cộp, Sơn La</t>
  </si>
  <si>
    <t>22/9/2023 - 26/9/2023</t>
  </si>
  <si>
    <t>31/10/2023</t>
  </si>
  <si>
    <t>360/GCN</t>
  </si>
  <si>
    <t>Ngô Xuân Trường</t>
  </si>
  <si>
    <t>Cảnh Tân, Hưng Hà, Thái Bình</t>
  </si>
  <si>
    <t>Đặng Tiến Đạt</t>
  </si>
  <si>
    <t>K62 ĐHSP Toán</t>
  </si>
  <si>
    <t>359/GCN</t>
  </si>
  <si>
    <t>Hoàng Việt Anh</t>
  </si>
  <si>
    <t>319-QĐ/ĐU</t>
  </si>
  <si>
    <t>20/9/2024</t>
  </si>
  <si>
    <t>Trần Đỗ Lâm Hoàng</t>
  </si>
  <si>
    <t>23/9/2024 - 29/9/2024</t>
  </si>
  <si>
    <t>17/10/2024</t>
  </si>
  <si>
    <t>Thái Thọ, Thái Thuỵ, Thái Bình</t>
  </si>
  <si>
    <t>UV BCH CĐ</t>
  </si>
  <si>
    <t>02-BC/CB-KHTN-CN</t>
  </si>
  <si>
    <t>29/9/2022</t>
  </si>
  <si>
    <t>358/GCN</t>
  </si>
  <si>
    <t>Nguyễn Thị Thu Trang</t>
  </si>
  <si>
    <t>Nguyễn Thị Thảo Mai</t>
  </si>
  <si>
    <t>K61 ĐHSP Toán học</t>
  </si>
  <si>
    <t>Đã kết nạp Đảng</t>
  </si>
  <si>
    <t>Cút Thị Li Na</t>
  </si>
  <si>
    <t>Tòng Kim Chi</t>
  </si>
  <si>
    <t>Ngô Thị Thu Phương</t>
  </si>
  <si>
    <t>Thào A Công</t>
  </si>
  <si>
    <t>K61 ĐH CNTT</t>
  </si>
  <si>
    <t>Hạng A Ca</t>
  </si>
  <si>
    <t>K62 ĐH CNTT B</t>
  </si>
  <si>
    <t>Đặng Thị Vân Chi</t>
  </si>
  <si>
    <t>Hà Thị Ngân</t>
  </si>
  <si>
    <t>K61 ĐH CNTT B</t>
  </si>
  <si>
    <t>Hoàng Thị Lam</t>
  </si>
  <si>
    <t>Vừ A Hồ</t>
  </si>
  <si>
    <t>Tòng Anh Tuấn</t>
  </si>
  <si>
    <t>P.Tô Hiệu, TP Sơn La, Sơn La</t>
  </si>
  <si>
    <t>K61 ĐH CNTT A</t>
  </si>
  <si>
    <t>Phạm Đình Thành</t>
  </si>
  <si>
    <t>357/GCN</t>
  </si>
  <si>
    <t>Nông Văn Tấn</t>
  </si>
  <si>
    <t>Lường Văn Toại</t>
  </si>
  <si>
    <t>TT Bắc Yên, Bắc Yên, Sơn La</t>
  </si>
  <si>
    <t>K62 ĐH CNTT A</t>
  </si>
  <si>
    <t>PBT CĐ</t>
  </si>
  <si>
    <t>14-BC/CB-KHTN-CN</t>
  </si>
  <si>
    <t>28/9/2023</t>
  </si>
  <si>
    <t>Nguyễn Hữu Cường</t>
  </si>
  <si>
    <t>356/GCN</t>
  </si>
  <si>
    <t>Lò Như Quỳnh</t>
  </si>
  <si>
    <t>Bon Phặng, Thuận Châu, Sơn La</t>
  </si>
  <si>
    <t>Vũ Hoàng Ly</t>
  </si>
  <si>
    <t>0888544167</t>
  </si>
  <si>
    <t>Nữ</t>
  </si>
  <si>
    <t>355/GCN</t>
  </si>
  <si>
    <t>Kinh/ Không</t>
  </si>
  <si>
    <t>Quỳnh Phụ, Hưng Yên</t>
  </si>
  <si>
    <t>K63 ĐHSP Toán</t>
  </si>
  <si>
    <t>Nguyễn Nam Khánh</t>
  </si>
  <si>
    <t>Vũ Tiến Thành</t>
  </si>
  <si>
    <t>Hoà Tiến, Hưng Hà, Thái Bình</t>
  </si>
  <si>
    <t>LT</t>
  </si>
  <si>
    <t>354/GCN</t>
  </si>
  <si>
    <t>Nguyễn Khánh Chi</t>
  </si>
  <si>
    <t>0914 704 055</t>
  </si>
  <si>
    <t>1/3/2004</t>
  </si>
  <si>
    <t>Trần Văn Việt</t>
  </si>
  <si>
    <t>Minh Hoà, Hưng Hà, Thái Bình</t>
  </si>
  <si>
    <t>BT CĐ</t>
  </si>
  <si>
    <t>Đông Á, Đông Hưng, Thái Bình</t>
  </si>
  <si>
    <t>353/GCN</t>
  </si>
  <si>
    <t>Quàng Bảo Chinh</t>
  </si>
  <si>
    <t>281/CN</t>
  </si>
  <si>
    <t>Phạm Thị Hương Lan</t>
  </si>
  <si>
    <t>037416957</t>
  </si>
  <si>
    <t>1/9/2004</t>
  </si>
  <si>
    <t>Vũ Lạc, TP Thái Bình, Thái Bình</t>
  </si>
  <si>
    <t>Đào Thị Bảo Yến</t>
  </si>
  <si>
    <t>Phú Cường, Kim Động, Hưng Yên</t>
  </si>
  <si>
    <t>K62 ĐHSP Tin</t>
  </si>
  <si>
    <t>Nguyễn Thị Thảo Anh</t>
  </si>
  <si>
    <t>Nguyễn Ngọc Duy</t>
  </si>
  <si>
    <t>K63 ĐHSP Tin</t>
  </si>
  <si>
    <t>Nguyễn Thị Thanh Hà</t>
  </si>
  <si>
    <t>376/GCN</t>
  </si>
  <si>
    <t>Đặng Ngọc Mai</t>
  </si>
  <si>
    <t>0399083598</t>
  </si>
  <si>
    <t>Nguyễn Thị Phương Hà</t>
  </si>
  <si>
    <t>TT. Bút Sơn, Hoằng Hoá, Thanh Hoá</t>
  </si>
  <si>
    <t>Vũ Phúc, Hưng Yên</t>
  </si>
  <si>
    <t>375/GCN</t>
  </si>
  <si>
    <t>281-CN</t>
  </si>
  <si>
    <t>Hoàng Việt Dũng</t>
  </si>
  <si>
    <t>Đặng Kim Tuyến</t>
  </si>
  <si>
    <t>19-BC/CB-KHTN-CN</t>
  </si>
  <si>
    <t>29/02/2024</t>
  </si>
  <si>
    <t>Hiệp Hoà, Vũ Thư, Thái Bình</t>
  </si>
  <si>
    <t>Lò Minh Tuấn</t>
  </si>
  <si>
    <t>374/GCN</t>
  </si>
  <si>
    <t>Tường Phù, Phù Yên, Sơn La</t>
  </si>
  <si>
    <t>Trần Thùy Trang</t>
  </si>
  <si>
    <t>K62 ĐHSP tin học</t>
  </si>
  <si>
    <t>Lò Anh Thư</t>
  </si>
  <si>
    <t>283-CN</t>
  </si>
  <si>
    <t>Pá Ma Pha Khinh, Quỳnh Nhai, Sơn La</t>
  </si>
  <si>
    <t>Trần Mạnh Hùng</t>
  </si>
  <si>
    <t>373/GCN</t>
  </si>
  <si>
    <t>K63 ĐH CNTT A</t>
  </si>
  <si>
    <t>Lầu A Dơ</t>
  </si>
  <si>
    <t>Xa Dung, Điện Biên Đông</t>
  </si>
  <si>
    <t>Đinh Đức Vình</t>
  </si>
  <si>
    <t>372/GCN</t>
  </si>
  <si>
    <t>Phạm Trần Hoàng Anh</t>
  </si>
  <si>
    <t>Cà Thị Hải</t>
  </si>
  <si>
    <t>Chiềng Pấc, Thuận Châu, Sơn La</t>
  </si>
  <si>
    <t>371/GCN</t>
  </si>
  <si>
    <t>Đào Việt Thắng</t>
  </si>
  <si>
    <t>Hoàng Đức An</t>
  </si>
  <si>
    <t>Trần Thanh Binh</t>
  </si>
  <si>
    <t>Vũ Phúc, Vũ Thư, Thái Bình</t>
  </si>
  <si>
    <t>370/GCN</t>
  </si>
  <si>
    <t>Thào A Ly</t>
  </si>
  <si>
    <t>Nguyễn Thuỳ Trang</t>
  </si>
  <si>
    <t>Thái Phương, Hưng Hà, Thái Bình</t>
  </si>
  <si>
    <t>369/GCN</t>
  </si>
  <si>
    <t>Dương Thế Vinh</t>
  </si>
  <si>
    <t>Quảng Châu, Tiên Lữ, Hưng Yên</t>
  </si>
  <si>
    <t xml:space="preserve">Hoàng Việt Anh (chuyển: Lê Khắc Phương Chi) </t>
  </si>
  <si>
    <t>367/GCN</t>
  </si>
  <si>
    <t>Lý Thu Hiền</t>
  </si>
  <si>
    <t>Chiềng Yên, Mộc Châu, Sơn La</t>
  </si>
  <si>
    <t>Tổng số ĐT chưa học lớp BD</t>
  </si>
  <si>
    <t>366/GCN</t>
  </si>
  <si>
    <t>SV K63</t>
  </si>
  <si>
    <t>Bạc Thị Hoài</t>
  </si>
  <si>
    <t>TT. Tuần Giáo, Tuần Giáo, Điện Biên</t>
  </si>
  <si>
    <t>LP HT</t>
  </si>
  <si>
    <t>368/GCN</t>
  </si>
  <si>
    <t>Đinh Anh Vũ</t>
  </si>
  <si>
    <t>Đá Đỏ, Phù Yên, Sơn La</t>
  </si>
  <si>
    <t>365/GCN</t>
  </si>
  <si>
    <t>Giàng A Thắng</t>
  </si>
  <si>
    <t>Co Tòng, Thuận Châu, Sơn La</t>
  </si>
  <si>
    <t>364/GCN</t>
  </si>
  <si>
    <t>Phạm Văn Phúc</t>
  </si>
  <si>
    <t>Thái Tân, Thái Thuỵ, Thái Bình</t>
  </si>
  <si>
    <t>363/GCN</t>
  </si>
  <si>
    <t>Thào Đình Khải</t>
  </si>
  <si>
    <t>Chiềng Chăn, Mai Sơn, Sơn La</t>
  </si>
  <si>
    <t>362/GCN</t>
  </si>
  <si>
    <t>Đinh Thị Mỹ Duyên</t>
  </si>
  <si>
    <t xml:space="preserve">Hoàng Việt Anh (Lê Khắc Phương Chi) </t>
  </si>
  <si>
    <t>Không thấy giấy chứng nhận bồi dưỡng đối tượng đảng</t>
  </si>
  <si>
    <t>Nguyễn Lâm Tùng</t>
  </si>
  <si>
    <t>Nguyễn Phương Thảo</t>
  </si>
  <si>
    <t>Vũ Thị Hương Giang</t>
  </si>
  <si>
    <t>Cà Thanh Việt</t>
  </si>
  <si>
    <t>Quàng Thị Vui</t>
  </si>
  <si>
    <t>Lương Ngọc Ánh</t>
  </si>
  <si>
    <t>Lò Tuấn Anh</t>
  </si>
  <si>
    <t>Hờ Thị Sua Thanh</t>
  </si>
  <si>
    <t>Tăng Anh Đài</t>
  </si>
  <si>
    <t>Lò Đức Giang</t>
  </si>
  <si>
    <t>Nguyễn Tiến Hưng</t>
  </si>
  <si>
    <t>K61 ĐHSP Hóa</t>
  </si>
  <si>
    <t>Vũ Thị Hải Ninh</t>
  </si>
  <si>
    <t>Thào Kim Ngọc</t>
  </si>
  <si>
    <t xml:space="preserve">Hoàng Việt Anh </t>
  </si>
  <si>
    <t>Lò Quyết Tâm</t>
  </si>
  <si>
    <t>Nguyễn Đức Việt</t>
  </si>
  <si>
    <t>Quàng Thùy Vân</t>
  </si>
  <si>
    <t>Vũ Doãn Kim</t>
  </si>
  <si>
    <t>Ly A Chía</t>
  </si>
  <si>
    <t>Quàng Trọng Hiếu</t>
  </si>
  <si>
    <t>Hờ A Hồ</t>
  </si>
  <si>
    <t>Lò Thị Kim</t>
  </si>
  <si>
    <t>Hoàng Vi Hằng</t>
  </si>
  <si>
    <t>Mai Trung Đức</t>
  </si>
  <si>
    <t>K62CNTT B</t>
  </si>
  <si>
    <t>Hạng A Tùng</t>
  </si>
  <si>
    <t>Sùng A Chính</t>
  </si>
  <si>
    <t xml:space="preserve">Thào A Ly </t>
  </si>
  <si>
    <t xml:space="preserve">Hoàng Đức An </t>
  </si>
  <si>
    <t xml:space="preserve">Thào A Chính </t>
  </si>
  <si>
    <t>Quàng Thị Quỳnh</t>
  </si>
  <si>
    <t>Lò Thị Dịu Trang</t>
  </si>
  <si>
    <t>Đinh Thị Phương Thảo</t>
  </si>
  <si>
    <t>Lò Thị Thúy Hằng</t>
  </si>
  <si>
    <t>Hoàng Thị Huyền</t>
  </si>
  <si>
    <t>Hoàng Thị Hiền</t>
  </si>
  <si>
    <t>Hoàng Quang Huy</t>
  </si>
  <si>
    <t>Hoàng Thị Quỳnh Chi</t>
  </si>
  <si>
    <t>Quàng Thị Kiều Oanh</t>
  </si>
  <si>
    <t>Lò Thị Quỳnh Vui</t>
  </si>
  <si>
    <t>Lò Khánh Ly</t>
  </si>
  <si>
    <t>K62 ĐHSP sinh học</t>
  </si>
  <si>
    <t>Phạm Huỳnh Đức</t>
  </si>
  <si>
    <t>K63 ĐHSP Hóa Học</t>
  </si>
  <si>
    <t>Cù Đức Hậu</t>
  </si>
  <si>
    <t>Lê Ngọc Hiền</t>
  </si>
  <si>
    <t>Nguyễn Bá Kiên</t>
  </si>
  <si>
    <t>Hoàng Thị Thu</t>
  </si>
  <si>
    <t>K63 ĐHSP Sinh học</t>
  </si>
  <si>
    <t>Vừ A Duy</t>
  </si>
  <si>
    <t>- Họp chi bộ ngày 25/10/2022 xoá công nhận đối tượng đảng của: 1. Quàng Thị Thu Trang – K60 ĐHCNTT và 2. Lê Hữu Cương – K60 ĐHCNTT</t>
  </si>
  <si>
    <t>Lò Văn Bảo</t>
  </si>
  <si>
    <t xml:space="preserve">K62 ĐHSP Toán   </t>
  </si>
  <si>
    <t>25-BC/CB-KHTN-CN</t>
  </si>
  <si>
    <t>05/9/2024</t>
  </si>
  <si>
    <t>Lê Khắc Phương Chi</t>
  </si>
  <si>
    <t>Và A Trí</t>
  </si>
  <si>
    <t xml:space="preserve">K62 ĐHSP Toán  </t>
  </si>
  <si>
    <t>Hoàng Thuỳ Trang</t>
  </si>
  <si>
    <t xml:space="preserve">K64 ĐHSP Tin   </t>
  </si>
  <si>
    <t>Nguyễn Văn Tú</t>
  </si>
  <si>
    <t>Nguyễn Xuân Anh</t>
  </si>
  <si>
    <t xml:space="preserve">Ly Đức Mạnh </t>
  </si>
  <si>
    <t>Lò Thị Thu Huyền</t>
  </si>
  <si>
    <t xml:space="preserve">Nguyễn Thị Thu Hương </t>
  </si>
  <si>
    <t xml:space="preserve">Vũ Hương Linh </t>
  </si>
  <si>
    <t>K64 ĐHSP Hóa</t>
  </si>
  <si>
    <t>Phạm Văn Công</t>
  </si>
  <si>
    <t>Nguyễn Công</t>
  </si>
  <si>
    <t xml:space="preserve">K64 ĐHSP Hóa </t>
  </si>
  <si>
    <t>Phùng Khánh Dương</t>
  </si>
  <si>
    <t>Nơi ở</t>
  </si>
  <si>
    <t>Ghi chú</t>
  </si>
  <si>
    <t>Nguyễn Ngọc Duy -&gt; Phạm Đình Thành (29/3/2024)</t>
  </si>
  <si>
    <t>Trần Thanh Bình</t>
  </si>
  <si>
    <t>Nguyễn Ngọc Duy -&gt; Phạm Đình Thành</t>
  </si>
  <si>
    <t>Lý A Chía</t>
  </si>
  <si>
    <t>Thào A Chính</t>
  </si>
  <si>
    <t>Ly Đức Mạnh</t>
  </si>
  <si>
    <t>Nguyễn Thị Thu Hương</t>
  </si>
  <si>
    <t>Vũ Hương Linh</t>
  </si>
  <si>
    <t>Hà Linh Chi</t>
  </si>
  <si>
    <t>27/9/2004</t>
  </si>
  <si>
    <t>Phú Khê, Cẩm Khê, Phú Thọ</t>
  </si>
  <si>
    <t>12/9/2022 - 16/9/2022</t>
  </si>
  <si>
    <t>5/10/2022</t>
  </si>
  <si>
    <t>92/CN</t>
  </si>
  <si>
    <t>Trần Thuỳ Trang</t>
  </si>
  <si>
    <t>Quàng Thuỳ Vân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</si>
</sst>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2">
    <font>
      <sz val="11.0"/>
      <color theme="1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FF0000"/>
      <name val="Times New Roman"/>
    </font>
    <font>
      <sz val="11.0"/>
      <color theme="1"/>
      <name val="Arial"/>
    </font>
    <font>
      <sz val="12.0"/>
      <color rgb="FF7030A0"/>
      <name val="Times New Roman"/>
    </font>
    <font>
      <sz val="13.0"/>
      <color theme="1"/>
      <name val="Times New Roman"/>
    </font>
    <font>
      <sz val="14.0"/>
      <color theme="1"/>
      <name val="Times New Roman"/>
    </font>
    <font>
      <sz val="12.0"/>
      <color rgb="FF000000"/>
      <name val="Times New Roman"/>
    </font>
    <font>
      <sz val="12.0"/>
      <color rgb="FF00B050"/>
      <name val="Times New Roman"/>
    </font>
    <font>
      <sz val="12.0"/>
      <color rgb="FF9C0006"/>
      <name val="Times New Roman"/>
    </font>
    <font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2" numFmtId="0" xfId="0" applyFont="1"/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right"/>
    </xf>
    <xf quotePrefix="1" borderId="0" fillId="0" fontId="2" numFmtId="14" xfId="0" applyAlignment="1" applyFont="1" applyNumberFormat="1">
      <alignment horizontal="left" vertical="center"/>
    </xf>
    <xf borderId="0" fillId="0" fontId="3" numFmtId="0" xfId="0" applyFont="1"/>
    <xf quotePrefix="1" borderId="0" fillId="0" fontId="3" numFmtId="0" xfId="0" applyAlignment="1" applyFont="1">
      <alignment horizontal="right"/>
    </xf>
    <xf borderId="0" fillId="0" fontId="3" numFmtId="0" xfId="0" applyAlignment="1" applyFont="1">
      <alignment horizontal="right"/>
    </xf>
    <xf quotePrefix="1" borderId="0" fillId="0" fontId="3" numFmtId="14" xfId="0" applyAlignment="1" applyFont="1" applyNumberFormat="1">
      <alignment horizontal="left" vertical="center"/>
    </xf>
    <xf quotePrefix="1" borderId="0" fillId="0" fontId="2" numFmtId="0" xfId="0" applyFont="1"/>
    <xf quotePrefix="1"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4" numFmtId="0" xfId="0" applyFont="1"/>
    <xf quotePrefix="1"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quotePrefix="1" borderId="1" fillId="2" fontId="2" numFmtId="14" xfId="0" applyAlignment="1" applyBorder="1" applyFill="1" applyFont="1" applyNumberFormat="1">
      <alignment horizontal="center" shrinkToFit="0" vertical="center" wrapText="1"/>
    </xf>
    <xf borderId="1" fillId="2" fontId="2" numFmtId="14" xfId="0" applyAlignment="1" applyBorder="1" applyFont="1" applyNumberFormat="1">
      <alignment horizontal="center" shrinkToFit="0" vertical="center" wrapText="1"/>
    </xf>
    <xf quotePrefix="1" borderId="2" fillId="2" fontId="2" numFmtId="14" xfId="0" applyAlignment="1" applyBorder="1" applyFont="1" applyNumberFormat="1">
      <alignment horizontal="center" shrinkToFit="0" vertical="center" wrapText="1"/>
    </xf>
    <xf borderId="2" fillId="2" fontId="2" numFmtId="14" xfId="0" applyAlignment="1" applyBorder="1" applyFont="1" applyNumberFormat="1">
      <alignment horizontal="center" shrinkToFit="0" vertical="center" wrapText="1"/>
    </xf>
    <xf borderId="3" fillId="3" fontId="2" numFmtId="0" xfId="0" applyAlignment="1" applyBorder="1" applyFill="1" applyFont="1">
      <alignment horizontal="center"/>
    </xf>
    <xf borderId="3" fillId="3" fontId="2" numFmtId="0" xfId="0" applyBorder="1" applyFont="1"/>
    <xf quotePrefix="1" borderId="3" fillId="3" fontId="2" numFmtId="0" xfId="0" applyAlignment="1" applyBorder="1" applyFont="1">
      <alignment horizontal="right"/>
    </xf>
    <xf quotePrefix="1" borderId="3" fillId="3" fontId="2" numFmtId="0" xfId="0" applyBorder="1" applyFont="1"/>
    <xf quotePrefix="1" borderId="4" fillId="0" fontId="2" numFmtId="0" xfId="0" applyAlignment="1" applyBorder="1" applyFont="1">
      <alignment horizontal="center" shrinkToFit="0" vertical="center" wrapText="1"/>
    </xf>
    <xf borderId="4" fillId="0" fontId="2" numFmtId="1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right"/>
    </xf>
    <xf borderId="3" fillId="3" fontId="3" numFmtId="0" xfId="0" applyAlignment="1" applyBorder="1" applyFont="1">
      <alignment horizontal="center"/>
    </xf>
    <xf borderId="3" fillId="3" fontId="3" numFmtId="0" xfId="0" applyBorder="1" applyFont="1"/>
    <xf borderId="3" fillId="3" fontId="3" numFmtId="0" xfId="0" applyAlignment="1" applyBorder="1" applyFont="1">
      <alignment horizontal="right"/>
    </xf>
    <xf borderId="0" fillId="0" fontId="2" numFmtId="0" xfId="0" applyAlignment="1" applyFont="1">
      <alignment horizontal="left"/>
    </xf>
    <xf quotePrefix="1" borderId="3" fillId="3" fontId="3" numFmtId="0" xfId="0" applyAlignment="1" applyBorder="1" applyFont="1">
      <alignment horizontal="right"/>
    </xf>
    <xf quotePrefix="1" borderId="3" fillId="3" fontId="3" numFmtId="0" xfId="0" applyBorder="1" applyFont="1"/>
    <xf borderId="0" fillId="0" fontId="5" numFmtId="0" xfId="0" applyFont="1"/>
    <xf borderId="3" fillId="4" fontId="2" numFmtId="0" xfId="0" applyBorder="1" applyFill="1" applyFont="1"/>
    <xf borderId="3" fillId="4" fontId="5" numFmtId="0" xfId="0" applyBorder="1" applyFont="1"/>
    <xf quotePrefix="1" borderId="3" fillId="4" fontId="2" numFmtId="0" xfId="0" applyAlignment="1" applyBorder="1" applyFont="1">
      <alignment horizontal="right"/>
    </xf>
    <xf borderId="3" fillId="4" fontId="2" numFmtId="0" xfId="0" applyAlignment="1" applyBorder="1" applyFont="1">
      <alignment horizontal="center"/>
    </xf>
    <xf borderId="3" fillId="4" fontId="3" numFmtId="0" xfId="0" applyBorder="1" applyFont="1"/>
    <xf borderId="3" fillId="4" fontId="2" numFmtId="0" xfId="0" applyAlignment="1" applyBorder="1" applyFont="1">
      <alignment horizontal="right"/>
    </xf>
    <xf borderId="3" fillId="4" fontId="2" numFmtId="0" xfId="0" applyAlignment="1" applyBorder="1" applyFont="1">
      <alignment shrinkToFit="0" wrapText="1"/>
    </xf>
    <xf borderId="3" fillId="4" fontId="6" numFmtId="0" xfId="0" applyBorder="1" applyFont="1"/>
    <xf borderId="0" fillId="0" fontId="7" numFmtId="0" xfId="0" applyFont="1"/>
    <xf borderId="3" fillId="5" fontId="8" numFmtId="0" xfId="0" applyBorder="1" applyFill="1" applyFont="1"/>
    <xf borderId="3" fillId="6" fontId="8" numFmtId="0" xfId="0" applyBorder="1" applyFill="1" applyFont="1"/>
    <xf borderId="3" fillId="5" fontId="3" numFmtId="0" xfId="0" applyBorder="1" applyFont="1"/>
    <xf borderId="3" fillId="6" fontId="3" numFmtId="0" xfId="0" applyBorder="1" applyFont="1"/>
    <xf borderId="3" fillId="4" fontId="8" numFmtId="0" xfId="0" applyBorder="1" applyFont="1"/>
    <xf borderId="0" fillId="0" fontId="8" numFmtId="0" xfId="0" applyFont="1"/>
    <xf borderId="3" fillId="4" fontId="9" numFmtId="0" xfId="0" applyBorder="1" applyFont="1"/>
    <xf borderId="3" fillId="6" fontId="10" numFmtId="0" xfId="0" applyBorder="1" applyFont="1"/>
    <xf borderId="5" fillId="7" fontId="11" numFmtId="0" xfId="0" applyAlignment="1" applyBorder="1" applyFill="1" applyFont="1">
      <alignment vertical="center"/>
    </xf>
    <xf borderId="6" fillId="8" fontId="11" numFmtId="0" xfId="0" applyAlignment="1" applyBorder="1" applyFill="1" applyFont="1">
      <alignment vertical="center"/>
    </xf>
    <xf borderId="7" fillId="8" fontId="1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4.13"/>
    <col customWidth="1" min="2" max="2" width="10.13"/>
    <col customWidth="1" min="3" max="3" width="20.88"/>
    <col customWidth="1" min="4" max="4" width="12.88"/>
    <col customWidth="1" min="5" max="5" width="10.88"/>
    <col customWidth="1" min="6" max="7" width="13.38"/>
    <col customWidth="1" min="8" max="8" width="30.63"/>
    <col customWidth="1" min="9" max="9" width="11.0"/>
    <col customWidth="1" min="10" max="11" width="18.88"/>
    <col customWidth="1" min="12" max="12" width="22.13"/>
    <col customWidth="1" min="13" max="13" width="16.88"/>
    <col customWidth="1" min="14" max="14" width="39.5"/>
    <col customWidth="1" min="15" max="15" width="11.75"/>
    <col customWidth="1" min="16" max="16" width="13.88"/>
    <col customWidth="1" min="17" max="17" width="11.75"/>
    <col customWidth="1" min="18" max="18" width="22.63"/>
    <col customWidth="1" min="19" max="19" width="16.38"/>
    <col customWidth="1" min="20" max="20" width="20.5"/>
    <col customWidth="1" min="21" max="21" width="33.38"/>
    <col customWidth="1" min="22" max="22" width="41.13"/>
    <col customWidth="1" min="23" max="23" width="44.75"/>
    <col customWidth="1" min="24" max="24" width="46.13"/>
    <col customWidth="1" min="25" max="25" width="45.38"/>
    <col customWidth="1" min="26" max="26" width="16.0"/>
    <col customWidth="1" min="27" max="27" width="19.0"/>
    <col customWidth="1" min="28" max="28" width="14.75"/>
    <col customWidth="1" min="29" max="29" width="20.13"/>
    <col customWidth="1" min="30" max="30" width="16.13"/>
    <col customWidth="1" min="31" max="31" width="21.38"/>
    <col customWidth="1" min="32" max="32" width="34.13"/>
    <col customWidth="1" min="33" max="33" width="52.75"/>
    <col customWidth="1" min="34" max="34" width="22.75"/>
  </cols>
  <sheetData>
    <row r="1">
      <c r="A1" s="1" t="s">
        <v>0</v>
      </c>
      <c r="B1" s="2" t="s">
        <v>1</v>
      </c>
      <c r="C1" s="1" t="s">
        <v>2</v>
      </c>
      <c r="D1" s="1" t="s">
        <v>6</v>
      </c>
      <c r="E1" s="1" t="s">
        <v>8</v>
      </c>
      <c r="F1" s="2" t="s">
        <v>4</v>
      </c>
      <c r="G1" s="2" t="s">
        <v>5</v>
      </c>
      <c r="H1" s="1" t="s">
        <v>7</v>
      </c>
      <c r="I1" s="1" t="s">
        <v>9</v>
      </c>
      <c r="J1" s="1" t="s">
        <v>10</v>
      </c>
      <c r="K1" s="1" t="s">
        <v>17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20</v>
      </c>
      <c r="Q1" s="2" t="s">
        <v>21</v>
      </c>
      <c r="R1" s="2" t="s">
        <v>15</v>
      </c>
      <c r="S1" s="1" t="s">
        <v>16</v>
      </c>
      <c r="T1" s="1" t="s">
        <v>18</v>
      </c>
      <c r="U1" s="1" t="s">
        <v>23</v>
      </c>
      <c r="V1" s="1" t="s">
        <v>24</v>
      </c>
      <c r="W1" s="1" t="s">
        <v>25</v>
      </c>
      <c r="X1" s="1" t="s">
        <v>27</v>
      </c>
      <c r="Y1" s="1" t="s">
        <v>28</v>
      </c>
      <c r="Z1" s="1" t="s">
        <v>19</v>
      </c>
      <c r="AA1" s="7" t="s">
        <v>31</v>
      </c>
      <c r="AB1" s="2" t="s">
        <v>33</v>
      </c>
      <c r="AC1" s="2" t="s">
        <v>35</v>
      </c>
      <c r="AD1" s="2" t="s">
        <v>36</v>
      </c>
      <c r="AE1" s="2" t="s">
        <v>37</v>
      </c>
      <c r="AF1" s="1" t="s">
        <v>38</v>
      </c>
      <c r="AG1" s="1" t="s">
        <v>39</v>
      </c>
      <c r="AH1" s="1"/>
      <c r="AI1" s="1"/>
    </row>
    <row r="2">
      <c r="A2" s="9">
        <v>1.0</v>
      </c>
      <c r="B2" s="9"/>
      <c r="C2" s="10" t="s">
        <v>22</v>
      </c>
      <c r="D2" s="10"/>
      <c r="E2" s="10"/>
      <c r="F2" s="10"/>
      <c r="G2" s="10"/>
      <c r="H2" s="10" t="s">
        <v>26</v>
      </c>
      <c r="I2" s="10"/>
      <c r="J2" s="10" t="s">
        <v>29</v>
      </c>
      <c r="K2" s="10"/>
      <c r="L2" s="13" t="s">
        <v>30</v>
      </c>
      <c r="M2" s="14" t="s">
        <v>32</v>
      </c>
      <c r="N2" s="13" t="s">
        <v>34</v>
      </c>
      <c r="O2" s="9" t="str">
        <f t="shared" ref="O2:O8" si="1">M2</f>
        <v>24/02/2023</v>
      </c>
      <c r="P2" s="15"/>
      <c r="Q2" s="15"/>
      <c r="R2" s="10" t="s">
        <v>40</v>
      </c>
      <c r="S2" s="16" t="s">
        <v>41</v>
      </c>
      <c r="T2" s="10"/>
      <c r="U2" s="10"/>
      <c r="V2" s="10"/>
      <c r="W2" s="10"/>
      <c r="X2" s="10"/>
      <c r="Y2" s="10"/>
      <c r="Z2" s="13" t="s">
        <v>42</v>
      </c>
      <c r="AA2" s="13"/>
      <c r="AB2" s="13"/>
      <c r="AC2" s="13"/>
      <c r="AD2" s="13"/>
      <c r="AE2" s="13"/>
      <c r="AF2" s="13"/>
      <c r="AG2" s="13"/>
      <c r="AH2" s="6"/>
      <c r="AI2" s="6"/>
    </row>
    <row r="3">
      <c r="A3" s="9">
        <v>2.0</v>
      </c>
      <c r="B3" s="9"/>
      <c r="C3" s="10" t="s">
        <v>43</v>
      </c>
      <c r="D3" s="10"/>
      <c r="E3" s="10"/>
      <c r="F3" s="10"/>
      <c r="G3" s="10"/>
      <c r="H3" s="10" t="s">
        <v>44</v>
      </c>
      <c r="I3" s="10" t="s">
        <v>45</v>
      </c>
      <c r="J3" s="10" t="s">
        <v>29</v>
      </c>
      <c r="K3" s="10"/>
      <c r="L3" s="13" t="s">
        <v>46</v>
      </c>
      <c r="M3" s="14" t="s">
        <v>47</v>
      </c>
      <c r="N3" s="13" t="s">
        <v>34</v>
      </c>
      <c r="O3" s="9" t="str">
        <f t="shared" si="1"/>
        <v>27/5/2022</v>
      </c>
      <c r="P3" s="15"/>
      <c r="Q3" s="15"/>
      <c r="R3" s="10" t="s">
        <v>40</v>
      </c>
      <c r="S3" s="16" t="s">
        <v>41</v>
      </c>
      <c r="T3" s="10" t="s">
        <v>48</v>
      </c>
      <c r="U3" s="10"/>
      <c r="V3" s="10"/>
      <c r="W3" s="10"/>
      <c r="X3" s="10"/>
      <c r="Y3" s="10"/>
      <c r="Z3" s="13" t="s">
        <v>42</v>
      </c>
      <c r="AA3" s="13"/>
      <c r="AB3" s="13"/>
      <c r="AC3" s="13"/>
      <c r="AD3" s="13"/>
      <c r="AE3" s="13"/>
      <c r="AF3" s="13"/>
      <c r="AG3" s="13"/>
      <c r="AH3" s="6"/>
      <c r="AI3" s="6"/>
    </row>
    <row r="4" hidden="1">
      <c r="A4" s="4">
        <v>45.0</v>
      </c>
      <c r="B4" s="6"/>
      <c r="C4" s="6" t="s">
        <v>59</v>
      </c>
      <c r="D4" s="6"/>
      <c r="E4" s="6"/>
      <c r="F4" s="6"/>
      <c r="G4" s="6"/>
      <c r="H4" s="6"/>
      <c r="I4" s="6"/>
      <c r="J4" s="6" t="s">
        <v>60</v>
      </c>
      <c r="K4" s="6"/>
      <c r="L4" s="6" t="s">
        <v>30</v>
      </c>
      <c r="M4" s="8" t="s">
        <v>32</v>
      </c>
      <c r="N4" s="6" t="s">
        <v>62</v>
      </c>
      <c r="O4" s="4" t="str">
        <f t="shared" si="1"/>
        <v>24/02/2023</v>
      </c>
      <c r="P4" s="11" t="s">
        <v>63</v>
      </c>
      <c r="Q4" s="8" t="s">
        <v>64</v>
      </c>
      <c r="R4" s="6" t="s">
        <v>66</v>
      </c>
      <c r="S4" s="18" t="s">
        <v>67</v>
      </c>
      <c r="T4" s="6"/>
      <c r="U4" s="6"/>
      <c r="V4" s="6"/>
      <c r="W4" s="6"/>
      <c r="X4" s="6"/>
      <c r="Y4" s="6"/>
      <c r="Z4" s="6" t="s">
        <v>42</v>
      </c>
      <c r="AA4" s="6"/>
      <c r="AB4" s="6"/>
      <c r="AC4" s="6"/>
      <c r="AD4" s="6"/>
      <c r="AE4" s="6"/>
      <c r="AF4" s="6"/>
      <c r="AG4" s="6"/>
      <c r="AH4" s="6"/>
      <c r="AI4" s="6"/>
    </row>
    <row r="5" hidden="1">
      <c r="A5" s="4">
        <v>46.0</v>
      </c>
      <c r="B5" s="6"/>
      <c r="C5" s="6" t="s">
        <v>73</v>
      </c>
      <c r="D5" s="6"/>
      <c r="E5" s="6"/>
      <c r="F5" s="6"/>
      <c r="G5" s="6"/>
      <c r="H5" s="6"/>
      <c r="I5" s="6"/>
      <c r="J5" s="6" t="s">
        <v>60</v>
      </c>
      <c r="K5" s="6"/>
      <c r="L5" s="6" t="s">
        <v>30</v>
      </c>
      <c r="M5" s="8" t="s">
        <v>32</v>
      </c>
      <c r="N5" s="6" t="s">
        <v>62</v>
      </c>
      <c r="O5" s="4" t="str">
        <f t="shared" si="1"/>
        <v>24/02/2023</v>
      </c>
      <c r="P5" s="11" t="s">
        <v>63</v>
      </c>
      <c r="Q5" s="8" t="s">
        <v>64</v>
      </c>
      <c r="R5" s="6" t="s">
        <v>66</v>
      </c>
      <c r="S5" s="18" t="s">
        <v>67</v>
      </c>
      <c r="T5" s="6"/>
      <c r="U5" s="6"/>
      <c r="V5" s="6"/>
      <c r="W5" s="6"/>
      <c r="X5" s="6"/>
      <c r="Y5" s="6"/>
      <c r="Z5" s="6" t="s">
        <v>42</v>
      </c>
      <c r="AA5" s="6"/>
      <c r="AB5" s="6"/>
      <c r="AC5" s="6"/>
      <c r="AD5" s="6"/>
      <c r="AE5" s="6"/>
      <c r="AF5" s="6"/>
      <c r="AG5" s="6"/>
      <c r="AH5" s="6"/>
      <c r="AI5" s="6"/>
    </row>
    <row r="6" hidden="1">
      <c r="A6" s="4">
        <v>47.0</v>
      </c>
      <c r="B6" s="6"/>
      <c r="C6" s="6" t="s">
        <v>78</v>
      </c>
      <c r="D6" s="6"/>
      <c r="E6" s="6"/>
      <c r="F6" s="6"/>
      <c r="G6" s="6"/>
      <c r="H6" s="6"/>
      <c r="I6" s="6"/>
      <c r="J6" s="6" t="s">
        <v>60</v>
      </c>
      <c r="K6" s="6"/>
      <c r="L6" s="6" t="s">
        <v>30</v>
      </c>
      <c r="M6" s="8" t="s">
        <v>32</v>
      </c>
      <c r="N6" s="6" t="s">
        <v>62</v>
      </c>
      <c r="O6" s="4" t="str">
        <f t="shared" si="1"/>
        <v>24/02/2023</v>
      </c>
      <c r="P6" s="11" t="s">
        <v>63</v>
      </c>
      <c r="Q6" s="8" t="s">
        <v>64</v>
      </c>
      <c r="R6" s="6" t="s">
        <v>66</v>
      </c>
      <c r="S6" s="18" t="s">
        <v>67</v>
      </c>
      <c r="T6" s="6"/>
      <c r="U6" s="6"/>
      <c r="V6" s="6"/>
      <c r="W6" s="6"/>
      <c r="X6" s="6"/>
      <c r="Y6" s="6"/>
      <c r="Z6" s="6" t="s">
        <v>42</v>
      </c>
      <c r="AA6" s="6"/>
      <c r="AB6" s="6"/>
      <c r="AC6" s="6"/>
      <c r="AD6" s="6"/>
      <c r="AE6" s="6"/>
      <c r="AF6" s="6"/>
      <c r="AG6" s="6"/>
      <c r="AH6" s="6"/>
      <c r="AI6" s="6"/>
    </row>
    <row r="7" hidden="1">
      <c r="A7" s="4">
        <v>48.0</v>
      </c>
      <c r="B7" s="6"/>
      <c r="C7" s="6" t="s">
        <v>82</v>
      </c>
      <c r="D7" s="6"/>
      <c r="E7" s="6"/>
      <c r="F7" s="6"/>
      <c r="G7" s="6"/>
      <c r="H7" s="6"/>
      <c r="I7" s="6"/>
      <c r="J7" s="20" t="s">
        <v>83</v>
      </c>
      <c r="K7" s="20"/>
      <c r="L7" s="6" t="s">
        <v>30</v>
      </c>
      <c r="M7" s="8" t="s">
        <v>32</v>
      </c>
      <c r="N7" s="6" t="s">
        <v>84</v>
      </c>
      <c r="O7" s="4" t="str">
        <f t="shared" si="1"/>
        <v>24/02/2023</v>
      </c>
      <c r="P7" s="11" t="s">
        <v>63</v>
      </c>
      <c r="Q7" s="8" t="s">
        <v>64</v>
      </c>
      <c r="R7" s="6" t="s">
        <v>66</v>
      </c>
      <c r="S7" s="18" t="s">
        <v>67</v>
      </c>
      <c r="T7" s="6"/>
      <c r="U7" s="6"/>
      <c r="V7" s="6"/>
      <c r="W7" s="6"/>
      <c r="X7" s="6"/>
      <c r="Y7" s="6"/>
      <c r="Z7" s="6" t="s">
        <v>42</v>
      </c>
      <c r="AA7" s="6"/>
      <c r="AB7" s="6"/>
      <c r="AC7" s="6"/>
      <c r="AD7" s="6"/>
      <c r="AE7" s="6"/>
      <c r="AF7" s="6"/>
      <c r="AG7" s="6"/>
      <c r="AH7" s="6"/>
      <c r="AI7" s="6"/>
    </row>
    <row r="8" hidden="1">
      <c r="A8" s="4">
        <v>49.0</v>
      </c>
      <c r="B8" s="6"/>
      <c r="C8" s="6" t="s">
        <v>88</v>
      </c>
      <c r="D8" s="6"/>
      <c r="E8" s="6"/>
      <c r="F8" s="6"/>
      <c r="G8" s="6"/>
      <c r="H8" s="6"/>
      <c r="I8" s="6"/>
      <c r="J8" s="20" t="s">
        <v>83</v>
      </c>
      <c r="K8" s="20"/>
      <c r="L8" s="6" t="s">
        <v>30</v>
      </c>
      <c r="M8" s="8" t="s">
        <v>32</v>
      </c>
      <c r="N8" s="6" t="s">
        <v>84</v>
      </c>
      <c r="O8" s="4" t="str">
        <f t="shared" si="1"/>
        <v>24/02/2023</v>
      </c>
      <c r="P8" s="11" t="s">
        <v>63</v>
      </c>
      <c r="Q8" s="8" t="s">
        <v>64</v>
      </c>
      <c r="R8" s="6" t="s">
        <v>66</v>
      </c>
      <c r="S8" s="18" t="s">
        <v>67</v>
      </c>
      <c r="T8" s="6"/>
      <c r="U8" s="6"/>
      <c r="V8" s="6"/>
      <c r="W8" s="6"/>
      <c r="X8" s="6"/>
      <c r="Y8" s="6"/>
      <c r="Z8" s="6" t="s">
        <v>42</v>
      </c>
      <c r="AA8" s="6"/>
      <c r="AB8" s="6"/>
      <c r="AC8" s="6"/>
      <c r="AD8" s="6"/>
      <c r="AE8" s="6"/>
      <c r="AF8" s="6"/>
      <c r="AG8" s="6"/>
      <c r="AH8" s="21"/>
      <c r="AI8" s="21"/>
    </row>
    <row r="9" hidden="1">
      <c r="A9" s="4">
        <v>59.0</v>
      </c>
      <c r="B9" s="6"/>
      <c r="C9" s="6" t="s">
        <v>94</v>
      </c>
      <c r="D9" s="6"/>
      <c r="E9" s="6"/>
      <c r="F9" s="6"/>
      <c r="G9" s="6"/>
      <c r="H9" s="6"/>
      <c r="I9" s="6"/>
      <c r="J9" s="20" t="s">
        <v>97</v>
      </c>
      <c r="K9" s="20"/>
      <c r="L9" s="6" t="s">
        <v>99</v>
      </c>
      <c r="M9" s="8" t="s">
        <v>100</v>
      </c>
      <c r="N9" s="6" t="s">
        <v>101</v>
      </c>
      <c r="O9" s="18" t="s">
        <v>100</v>
      </c>
      <c r="P9" s="11" t="s">
        <v>63</v>
      </c>
      <c r="Q9" s="8" t="s">
        <v>64</v>
      </c>
      <c r="R9" s="6" t="s">
        <v>66</v>
      </c>
      <c r="S9" s="18" t="s">
        <v>67</v>
      </c>
      <c r="T9" s="6"/>
      <c r="U9" s="6"/>
      <c r="V9" s="6"/>
      <c r="W9" s="6"/>
      <c r="X9" s="6"/>
      <c r="Y9" s="6"/>
      <c r="Z9" s="6" t="s">
        <v>42</v>
      </c>
      <c r="AA9" s="6"/>
      <c r="AB9" s="6"/>
      <c r="AC9" s="6"/>
      <c r="AD9" s="6"/>
      <c r="AE9" s="6"/>
      <c r="AF9" s="6"/>
      <c r="AG9" s="6"/>
      <c r="AH9" s="6"/>
      <c r="AI9" s="6"/>
    </row>
    <row r="10" hidden="1">
      <c r="A10" s="4">
        <v>60.0</v>
      </c>
      <c r="B10" s="6"/>
      <c r="C10" s="6" t="s">
        <v>105</v>
      </c>
      <c r="D10" s="22" t="s">
        <v>106</v>
      </c>
      <c r="E10" s="6" t="s">
        <v>107</v>
      </c>
      <c r="F10" s="23">
        <v>38202.0</v>
      </c>
      <c r="G10" s="24" t="s">
        <v>109</v>
      </c>
      <c r="H10" s="24" t="s">
        <v>110</v>
      </c>
      <c r="I10" s="6"/>
      <c r="J10" s="20" t="s">
        <v>111</v>
      </c>
      <c r="K10" s="20"/>
      <c r="L10" s="6" t="s">
        <v>99</v>
      </c>
      <c r="M10" s="8" t="s">
        <v>100</v>
      </c>
      <c r="N10" s="6" t="s">
        <v>113</v>
      </c>
      <c r="O10" s="18" t="s">
        <v>100</v>
      </c>
      <c r="P10" s="11" t="s">
        <v>63</v>
      </c>
      <c r="Q10" s="8" t="s">
        <v>64</v>
      </c>
      <c r="R10" s="6" t="s">
        <v>66</v>
      </c>
      <c r="S10" s="18" t="s">
        <v>67</v>
      </c>
      <c r="T10" s="6"/>
      <c r="U10" s="6"/>
      <c r="V10" s="6"/>
      <c r="W10" s="6"/>
      <c r="X10" s="6"/>
      <c r="Y10" s="6"/>
      <c r="Z10" s="6" t="s">
        <v>42</v>
      </c>
      <c r="AA10" s="6"/>
      <c r="AB10" s="6"/>
      <c r="AC10" s="6"/>
      <c r="AD10" s="6"/>
      <c r="AE10" s="6"/>
      <c r="AF10" s="6"/>
      <c r="AG10" s="6"/>
      <c r="AH10" s="6"/>
      <c r="AI10" s="6"/>
    </row>
    <row r="11" hidden="1">
      <c r="A11" s="4">
        <v>61.0</v>
      </c>
      <c r="B11" s="6"/>
      <c r="C11" s="6" t="s">
        <v>117</v>
      </c>
      <c r="D11" s="17" t="s">
        <v>118</v>
      </c>
      <c r="E11" s="6" t="s">
        <v>107</v>
      </c>
      <c r="F11" s="25" t="s">
        <v>119</v>
      </c>
      <c r="G11" s="26" t="s">
        <v>109</v>
      </c>
      <c r="H11" s="26" t="s">
        <v>123</v>
      </c>
      <c r="I11" s="6"/>
      <c r="J11" s="20" t="s">
        <v>111</v>
      </c>
      <c r="K11" s="20"/>
      <c r="L11" s="6" t="s">
        <v>99</v>
      </c>
      <c r="M11" s="8" t="s">
        <v>100</v>
      </c>
      <c r="N11" s="6" t="s">
        <v>113</v>
      </c>
      <c r="O11" s="18" t="s">
        <v>100</v>
      </c>
      <c r="P11" s="11" t="s">
        <v>63</v>
      </c>
      <c r="Q11" s="8" t="s">
        <v>64</v>
      </c>
      <c r="R11" s="6" t="s">
        <v>66</v>
      </c>
      <c r="S11" s="18" t="s">
        <v>67</v>
      </c>
      <c r="T11" s="6"/>
      <c r="U11" s="6"/>
      <c r="V11" s="6"/>
      <c r="W11" s="6"/>
      <c r="X11" s="6"/>
      <c r="Y11" s="6"/>
      <c r="Z11" s="6" t="s">
        <v>42</v>
      </c>
      <c r="AA11" s="6"/>
      <c r="AB11" s="6"/>
      <c r="AC11" s="6"/>
      <c r="AD11" s="6"/>
      <c r="AE11" s="6"/>
      <c r="AF11" s="6"/>
      <c r="AG11" s="6"/>
      <c r="AH11" s="6"/>
      <c r="AI11" s="6"/>
    </row>
    <row r="12" hidden="1">
      <c r="A12" s="4">
        <v>62.0</v>
      </c>
      <c r="B12" s="6"/>
      <c r="C12" s="6" t="s">
        <v>127</v>
      </c>
      <c r="D12" s="17" t="s">
        <v>128</v>
      </c>
      <c r="E12" s="6" t="s">
        <v>107</v>
      </c>
      <c r="F12" s="27" t="s">
        <v>129</v>
      </c>
      <c r="G12" s="28" t="s">
        <v>109</v>
      </c>
      <c r="H12" s="28" t="s">
        <v>130</v>
      </c>
      <c r="I12" s="6"/>
      <c r="J12" s="20" t="s">
        <v>111</v>
      </c>
      <c r="K12" s="20"/>
      <c r="L12" s="6" t="s">
        <v>99</v>
      </c>
      <c r="M12" s="8" t="s">
        <v>100</v>
      </c>
      <c r="N12" s="6" t="s">
        <v>113</v>
      </c>
      <c r="O12" s="18" t="s">
        <v>100</v>
      </c>
      <c r="P12" s="11" t="s">
        <v>63</v>
      </c>
      <c r="Q12" s="8" t="s">
        <v>64</v>
      </c>
      <c r="R12" s="6" t="s">
        <v>66</v>
      </c>
      <c r="S12" s="18" t="s">
        <v>67</v>
      </c>
      <c r="T12" s="6"/>
      <c r="U12" s="6"/>
      <c r="V12" s="6"/>
      <c r="W12" s="6"/>
      <c r="X12" s="6"/>
      <c r="Y12" s="6"/>
      <c r="Z12" s="6" t="s">
        <v>42</v>
      </c>
      <c r="AA12" s="6"/>
      <c r="AB12" s="6"/>
      <c r="AC12" s="6"/>
      <c r="AD12" s="6"/>
      <c r="AE12" s="6"/>
      <c r="AF12" s="6"/>
      <c r="AG12" s="6"/>
      <c r="AH12" s="21"/>
      <c r="AI12" s="21"/>
    </row>
    <row r="13" hidden="1">
      <c r="A13" s="4">
        <v>70.0</v>
      </c>
      <c r="B13" s="6"/>
      <c r="C13" s="6" t="s">
        <v>134</v>
      </c>
      <c r="D13" s="6"/>
      <c r="E13" s="6"/>
      <c r="F13" s="6"/>
      <c r="G13" s="6"/>
      <c r="H13" s="6"/>
      <c r="I13" s="6"/>
      <c r="J13" s="20" t="s">
        <v>136</v>
      </c>
      <c r="K13" s="20"/>
      <c r="L13" s="6" t="s">
        <v>99</v>
      </c>
      <c r="M13" s="8" t="s">
        <v>100</v>
      </c>
      <c r="N13" s="6" t="s">
        <v>137</v>
      </c>
      <c r="O13" s="18" t="s">
        <v>100</v>
      </c>
      <c r="P13" s="11" t="s">
        <v>63</v>
      </c>
      <c r="Q13" s="8" t="s">
        <v>64</v>
      </c>
      <c r="R13" s="6" t="s">
        <v>66</v>
      </c>
      <c r="S13" s="18" t="s">
        <v>67</v>
      </c>
      <c r="T13" s="6"/>
      <c r="U13" s="6"/>
      <c r="V13" s="6"/>
      <c r="W13" s="6"/>
      <c r="X13" s="6"/>
      <c r="Y13" s="6"/>
      <c r="Z13" s="6" t="s">
        <v>42</v>
      </c>
      <c r="AA13" s="6"/>
      <c r="AB13" s="6"/>
      <c r="AC13" s="6"/>
      <c r="AD13" s="6"/>
      <c r="AE13" s="6"/>
      <c r="AF13" s="6"/>
      <c r="AG13" s="6"/>
      <c r="AH13" s="6"/>
      <c r="AI13" s="6"/>
    </row>
    <row r="14" hidden="1">
      <c r="A14" s="4">
        <v>71.0</v>
      </c>
      <c r="B14" s="6"/>
      <c r="C14" s="6" t="s">
        <v>139</v>
      </c>
      <c r="D14" s="33" t="s">
        <v>140</v>
      </c>
      <c r="E14" s="6" t="s">
        <v>107</v>
      </c>
      <c r="F14" s="34">
        <v>38272.0</v>
      </c>
      <c r="G14" s="35" t="s">
        <v>109</v>
      </c>
      <c r="H14" s="35" t="s">
        <v>143</v>
      </c>
      <c r="I14" s="6"/>
      <c r="J14" s="20" t="s">
        <v>136</v>
      </c>
      <c r="K14" s="20"/>
      <c r="L14" s="6" t="s">
        <v>99</v>
      </c>
      <c r="M14" s="8" t="s">
        <v>100</v>
      </c>
      <c r="N14" s="6" t="s">
        <v>137</v>
      </c>
      <c r="O14" s="18" t="s">
        <v>100</v>
      </c>
      <c r="P14" s="11" t="s">
        <v>63</v>
      </c>
      <c r="Q14" s="8" t="s">
        <v>64</v>
      </c>
      <c r="R14" s="6" t="s">
        <v>66</v>
      </c>
      <c r="S14" s="18" t="s">
        <v>67</v>
      </c>
      <c r="T14" s="6"/>
      <c r="U14" s="6"/>
      <c r="V14" s="6"/>
      <c r="W14" s="6"/>
      <c r="X14" s="6"/>
      <c r="Y14" s="6"/>
      <c r="Z14" s="6" t="s">
        <v>42</v>
      </c>
      <c r="AA14" s="6"/>
      <c r="AB14" s="6"/>
      <c r="AC14" s="6"/>
      <c r="AD14" s="6"/>
      <c r="AE14" s="6"/>
      <c r="AF14" s="6"/>
      <c r="AG14" s="6"/>
      <c r="AH14" s="21"/>
      <c r="AI14" s="21"/>
    </row>
    <row r="15" hidden="1">
      <c r="A15" s="4">
        <v>79.0</v>
      </c>
      <c r="B15" s="6"/>
      <c r="C15" s="6" t="s">
        <v>146</v>
      </c>
      <c r="D15" s="6"/>
      <c r="E15" s="6"/>
      <c r="F15" s="6"/>
      <c r="G15" s="6"/>
      <c r="H15" s="6"/>
      <c r="I15" s="6"/>
      <c r="J15" s="6" t="s">
        <v>136</v>
      </c>
      <c r="K15" s="6"/>
      <c r="L15" s="6" t="s">
        <v>148</v>
      </c>
      <c r="M15" s="8" t="s">
        <v>149</v>
      </c>
      <c r="N15" s="6"/>
      <c r="O15" s="4"/>
      <c r="P15" s="11" t="s">
        <v>63</v>
      </c>
      <c r="Q15" s="8" t="s">
        <v>64</v>
      </c>
      <c r="R15" s="6" t="s">
        <v>66</v>
      </c>
      <c r="S15" s="18" t="s">
        <v>67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hidden="1">
      <c r="A16" s="4">
        <v>80.0</v>
      </c>
      <c r="B16" s="6"/>
      <c r="C16" s="6" t="s">
        <v>154</v>
      </c>
      <c r="D16" s="6"/>
      <c r="E16" s="6"/>
      <c r="F16" s="6"/>
      <c r="G16" s="6"/>
      <c r="H16" s="6"/>
      <c r="I16" s="6"/>
      <c r="J16" s="6" t="s">
        <v>155</v>
      </c>
      <c r="K16" s="6"/>
      <c r="L16" s="6" t="s">
        <v>148</v>
      </c>
      <c r="M16" s="8" t="s">
        <v>149</v>
      </c>
      <c r="N16" s="6"/>
      <c r="O16" s="4"/>
      <c r="P16" s="11" t="s">
        <v>63</v>
      </c>
      <c r="Q16" s="8" t="s">
        <v>64</v>
      </c>
      <c r="R16" s="6" t="s">
        <v>66</v>
      </c>
      <c r="S16" s="18" t="s">
        <v>67</v>
      </c>
      <c r="T16" s="6"/>
      <c r="U16" s="6"/>
      <c r="V16" s="6"/>
      <c r="W16" s="6"/>
      <c r="X16" s="6"/>
      <c r="Y16" s="6"/>
      <c r="Z16" s="6" t="s">
        <v>42</v>
      </c>
      <c r="AA16" s="6"/>
      <c r="AB16" s="6"/>
      <c r="AC16" s="6"/>
      <c r="AD16" s="6"/>
      <c r="AE16" s="6"/>
      <c r="AF16" s="6"/>
      <c r="AG16" s="6"/>
      <c r="AH16" s="6"/>
      <c r="AI16" s="6"/>
    </row>
    <row r="17" hidden="1">
      <c r="A17" s="4">
        <v>81.0</v>
      </c>
      <c r="B17" s="6"/>
      <c r="C17" s="6" t="s">
        <v>159</v>
      </c>
      <c r="D17" s="6"/>
      <c r="E17" s="6"/>
      <c r="F17" s="6"/>
      <c r="G17" s="6"/>
      <c r="H17" s="6"/>
      <c r="I17" s="6"/>
      <c r="J17" s="6" t="s">
        <v>161</v>
      </c>
      <c r="K17" s="6"/>
      <c r="L17" s="6" t="s">
        <v>148</v>
      </c>
      <c r="M17" s="8" t="s">
        <v>149</v>
      </c>
      <c r="N17" s="6"/>
      <c r="O17" s="4"/>
      <c r="P17" s="11" t="s">
        <v>63</v>
      </c>
      <c r="Q17" s="8" t="s">
        <v>64</v>
      </c>
      <c r="R17" s="6" t="s">
        <v>66</v>
      </c>
      <c r="S17" s="18" t="s">
        <v>67</v>
      </c>
      <c r="T17" s="6"/>
      <c r="U17" s="6"/>
      <c r="V17" s="6"/>
      <c r="W17" s="6"/>
      <c r="X17" s="6"/>
      <c r="Y17" s="6"/>
      <c r="Z17" s="6" t="s">
        <v>42</v>
      </c>
      <c r="AA17" s="6"/>
      <c r="AB17" s="6"/>
      <c r="AC17" s="6"/>
      <c r="AD17" s="6"/>
      <c r="AE17" s="6"/>
      <c r="AF17" s="6"/>
      <c r="AG17" s="6"/>
      <c r="AH17" s="6"/>
      <c r="AI17" s="6"/>
    </row>
    <row r="18" hidden="1">
      <c r="A18" s="4">
        <v>82.0</v>
      </c>
      <c r="B18" s="6"/>
      <c r="C18" s="6" t="s">
        <v>164</v>
      </c>
      <c r="D18" s="6"/>
      <c r="E18" s="6"/>
      <c r="F18" s="6"/>
      <c r="G18" s="6"/>
      <c r="H18" s="6"/>
      <c r="I18" s="6"/>
      <c r="J18" s="6" t="s">
        <v>161</v>
      </c>
      <c r="K18" s="6"/>
      <c r="L18" s="6" t="s">
        <v>148</v>
      </c>
      <c r="M18" s="8" t="s">
        <v>149</v>
      </c>
      <c r="N18" s="6"/>
      <c r="O18" s="4"/>
      <c r="P18" s="11"/>
      <c r="Q18" s="11"/>
      <c r="R18" s="6" t="s">
        <v>66</v>
      </c>
      <c r="S18" s="18" t="s">
        <v>67</v>
      </c>
      <c r="T18" s="6"/>
      <c r="U18" s="6"/>
      <c r="V18" s="6"/>
      <c r="W18" s="6"/>
      <c r="X18" s="6"/>
      <c r="Y18" s="6"/>
      <c r="Z18" s="6" t="s">
        <v>42</v>
      </c>
      <c r="AA18" s="6"/>
      <c r="AB18" s="6"/>
      <c r="AC18" s="6"/>
      <c r="AD18" s="6"/>
      <c r="AE18" s="6"/>
      <c r="AF18" s="6"/>
      <c r="AG18" s="6"/>
      <c r="AH18" s="6"/>
      <c r="AI18" s="6"/>
    </row>
    <row r="19" hidden="1">
      <c r="A19" s="4">
        <v>83.0</v>
      </c>
      <c r="B19" s="6"/>
      <c r="C19" s="6" t="s">
        <v>166</v>
      </c>
      <c r="D19" s="6"/>
      <c r="E19" s="6"/>
      <c r="F19" s="6"/>
      <c r="G19" s="6"/>
      <c r="H19" s="6"/>
      <c r="I19" s="6"/>
      <c r="J19" s="6" t="s">
        <v>161</v>
      </c>
      <c r="K19" s="6"/>
      <c r="L19" s="6" t="s">
        <v>148</v>
      </c>
      <c r="M19" s="8" t="s">
        <v>149</v>
      </c>
      <c r="N19" s="6"/>
      <c r="O19" s="4"/>
      <c r="P19" s="11" t="s">
        <v>63</v>
      </c>
      <c r="Q19" s="8" t="s">
        <v>64</v>
      </c>
      <c r="R19" s="6" t="s">
        <v>66</v>
      </c>
      <c r="S19" s="18" t="s">
        <v>67</v>
      </c>
      <c r="T19" s="6"/>
      <c r="U19" s="6"/>
      <c r="V19" s="6"/>
      <c r="W19" s="6"/>
      <c r="X19" s="6"/>
      <c r="Y19" s="6"/>
      <c r="Z19" s="6" t="s">
        <v>42</v>
      </c>
      <c r="AA19" s="6"/>
      <c r="AB19" s="6"/>
      <c r="AC19" s="6"/>
      <c r="AD19" s="6"/>
      <c r="AE19" s="6"/>
      <c r="AF19" s="6"/>
      <c r="AG19" s="6"/>
      <c r="AH19" s="21"/>
      <c r="AI19" s="21"/>
    </row>
    <row r="20" hidden="1">
      <c r="A20" s="4">
        <v>96.0</v>
      </c>
      <c r="B20" s="6"/>
      <c r="C20" s="6" t="s">
        <v>170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4"/>
      <c r="P20" s="11" t="s">
        <v>63</v>
      </c>
      <c r="Q20" s="8" t="s">
        <v>64</v>
      </c>
      <c r="R20" s="6" t="s">
        <v>66</v>
      </c>
      <c r="S20" s="18" t="s">
        <v>67</v>
      </c>
      <c r="T20" s="6"/>
      <c r="U20" s="6"/>
      <c r="V20" s="6"/>
      <c r="W20" s="6"/>
      <c r="X20" s="6"/>
      <c r="Y20" s="6"/>
      <c r="Z20" s="6" t="s">
        <v>42</v>
      </c>
      <c r="AA20" s="6"/>
      <c r="AB20" s="6"/>
      <c r="AC20" s="6"/>
      <c r="AD20" s="6"/>
      <c r="AE20" s="6"/>
      <c r="AF20" s="6"/>
      <c r="AG20" s="6"/>
      <c r="AH20" s="21"/>
      <c r="AI20" s="21"/>
    </row>
    <row r="21" ht="15.75" hidden="1" customHeight="1">
      <c r="A21" s="4">
        <v>98.0</v>
      </c>
      <c r="B21" s="6"/>
      <c r="C21" s="6" t="s">
        <v>171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4"/>
      <c r="P21" s="11" t="s">
        <v>63</v>
      </c>
      <c r="Q21" s="8" t="s">
        <v>64</v>
      </c>
      <c r="R21" s="6" t="s">
        <v>66</v>
      </c>
      <c r="S21" s="18" t="s">
        <v>67</v>
      </c>
      <c r="T21" s="6"/>
      <c r="U21" s="6"/>
      <c r="V21" s="6"/>
      <c r="W21" s="6"/>
      <c r="X21" s="6"/>
      <c r="Y21" s="6"/>
      <c r="Z21" s="6" t="s">
        <v>42</v>
      </c>
      <c r="AA21" s="6"/>
      <c r="AB21" s="6"/>
      <c r="AC21" s="6"/>
      <c r="AD21" s="6"/>
      <c r="AE21" s="6"/>
      <c r="AF21" s="6"/>
      <c r="AG21" s="6"/>
      <c r="AH21" s="6"/>
      <c r="AI21" s="6"/>
    </row>
    <row r="22" ht="15.75" hidden="1" customHeight="1">
      <c r="A22" s="4">
        <v>99.0</v>
      </c>
      <c r="B22" s="6"/>
      <c r="C22" s="6" t="s">
        <v>175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4"/>
      <c r="P22" s="11" t="s">
        <v>63</v>
      </c>
      <c r="Q22" s="8" t="s">
        <v>64</v>
      </c>
      <c r="R22" s="6" t="s">
        <v>66</v>
      </c>
      <c r="S22" s="18" t="s">
        <v>67</v>
      </c>
      <c r="T22" s="6"/>
      <c r="U22" s="6"/>
      <c r="V22" s="6"/>
      <c r="W22" s="6"/>
      <c r="X22" s="6"/>
      <c r="Y22" s="6"/>
      <c r="Z22" s="6" t="s">
        <v>42</v>
      </c>
      <c r="AA22" s="6"/>
      <c r="AB22" s="6"/>
      <c r="AC22" s="6"/>
      <c r="AD22" s="6"/>
      <c r="AE22" s="6"/>
      <c r="AF22" s="6"/>
      <c r="AG22" s="6"/>
      <c r="AH22" s="21"/>
      <c r="AI22" s="21"/>
    </row>
    <row r="23" ht="15.75" customHeight="1">
      <c r="A23" s="6"/>
      <c r="B23" s="6"/>
      <c r="C23" s="40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6"/>
      <c r="B26" s="6"/>
      <c r="C26" s="6" t="s">
        <v>185</v>
      </c>
      <c r="D26" s="6"/>
      <c r="E26" s="6"/>
      <c r="F26" s="6"/>
      <c r="G26" s="6"/>
      <c r="H26" s="6"/>
      <c r="I26" s="6"/>
      <c r="J26" s="6"/>
      <c r="K26" s="6"/>
      <c r="L26" s="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6"/>
      <c r="B27" s="6"/>
      <c r="C27" s="6">
        <f>COUNTA(C4:C22)</f>
        <v>19</v>
      </c>
      <c r="D27" s="6"/>
      <c r="E27" s="6"/>
      <c r="F27" s="6"/>
      <c r="G27" s="6"/>
      <c r="H27" s="6"/>
      <c r="I27" s="6" t="s">
        <v>187</v>
      </c>
      <c r="J27" s="6">
        <f t="array" ref="J27">SUMPRODUCT(--(LEFT($J$4:$J$22,3)="K63"))</f>
        <v>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 t="s">
        <v>187</v>
      </c>
      <c r="J28" s="6">
        <f t="array" ref="J28">SUMPRODUCT(--(LEFT($J$4:$J$22,3)="K64"))</f>
        <v>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G$22">
    <filterColumn colId="18">
      <filters>
        <filter val="3/10/2022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4.13"/>
    <col customWidth="1" min="2" max="2" width="10.13"/>
    <col customWidth="1" min="3" max="3" width="20.88"/>
    <col customWidth="1" min="4" max="5" width="13.38"/>
    <col customWidth="1" min="6" max="6" width="29.13"/>
    <col customWidth="1" min="7" max="7" width="11.0"/>
    <col customWidth="1" min="8" max="8" width="18.88"/>
    <col customWidth="1" min="9" max="9" width="22.13"/>
    <col customWidth="1" min="10" max="10" width="16.0"/>
    <col customWidth="1" min="11" max="11" width="37.88"/>
    <col customWidth="1" min="12" max="12" width="11.75"/>
    <col customWidth="1" min="13" max="13" width="20.13"/>
    <col customWidth="1" min="14" max="14" width="14.88"/>
    <col customWidth="1" min="15" max="16" width="16.0"/>
    <col customWidth="1" min="17" max="17" width="42.75"/>
    <col customWidth="1" min="18" max="26" width="8.75"/>
  </cols>
  <sheetData>
    <row r="1" ht="53.25" customHeight="1">
      <c r="A1" s="1" t="s">
        <v>0</v>
      </c>
      <c r="B1" s="2" t="s">
        <v>1</v>
      </c>
      <c r="C1" s="1" t="s">
        <v>2</v>
      </c>
      <c r="D1" s="2" t="s">
        <v>4</v>
      </c>
      <c r="E1" s="2" t="s">
        <v>5</v>
      </c>
      <c r="F1" s="1" t="s">
        <v>7</v>
      </c>
      <c r="G1" s="1" t="s">
        <v>9</v>
      </c>
      <c r="H1" s="1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1" t="s">
        <v>16</v>
      </c>
      <c r="O1" s="1" t="s">
        <v>18</v>
      </c>
      <c r="P1" s="1" t="s">
        <v>19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/>
      <c r="C2" s="5" t="s">
        <v>22</v>
      </c>
      <c r="D2" s="5"/>
      <c r="E2" s="5"/>
      <c r="F2" s="5" t="s">
        <v>26</v>
      </c>
      <c r="G2" s="5"/>
      <c r="H2" s="5" t="s">
        <v>29</v>
      </c>
      <c r="I2" s="6" t="s">
        <v>30</v>
      </c>
      <c r="J2" s="8" t="s">
        <v>32</v>
      </c>
      <c r="K2" s="6" t="s">
        <v>34</v>
      </c>
      <c r="L2" s="11" t="str">
        <f t="shared" ref="L2:L4" si="1">J2</f>
        <v>24/02/2023</v>
      </c>
      <c r="M2" s="5" t="s">
        <v>40</v>
      </c>
      <c r="N2" s="12" t="s">
        <v>41</v>
      </c>
      <c r="O2" s="5"/>
      <c r="P2" s="6" t="s">
        <v>42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2.0</v>
      </c>
      <c r="B3" s="4"/>
      <c r="C3" s="5" t="s">
        <v>43</v>
      </c>
      <c r="D3" s="5"/>
      <c r="E3" s="5"/>
      <c r="F3" s="5" t="s">
        <v>44</v>
      </c>
      <c r="G3" s="5" t="s">
        <v>45</v>
      </c>
      <c r="H3" s="5" t="s">
        <v>29</v>
      </c>
      <c r="I3" s="6" t="s">
        <v>46</v>
      </c>
      <c r="J3" s="8" t="s">
        <v>47</v>
      </c>
      <c r="K3" s="6" t="s">
        <v>34</v>
      </c>
      <c r="L3" s="11" t="str">
        <f t="shared" si="1"/>
        <v>27/5/2022</v>
      </c>
      <c r="M3" s="5" t="s">
        <v>40</v>
      </c>
      <c r="N3" s="12" t="s">
        <v>41</v>
      </c>
      <c r="O3" s="5" t="s">
        <v>48</v>
      </c>
      <c r="P3" s="6" t="s">
        <v>42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3.0</v>
      </c>
      <c r="B4" s="4"/>
      <c r="C4" s="5" t="s">
        <v>49</v>
      </c>
      <c r="D4" s="5"/>
      <c r="E4" s="5"/>
      <c r="F4" s="5" t="s">
        <v>50</v>
      </c>
      <c r="G4" s="5"/>
      <c r="H4" s="5" t="s">
        <v>29</v>
      </c>
      <c r="I4" s="6" t="s">
        <v>46</v>
      </c>
      <c r="J4" s="8" t="s">
        <v>47</v>
      </c>
      <c r="K4" s="6" t="s">
        <v>34</v>
      </c>
      <c r="L4" s="11" t="str">
        <f t="shared" si="1"/>
        <v>27/5/2022</v>
      </c>
      <c r="M4" s="5" t="s">
        <v>40</v>
      </c>
      <c r="N4" s="12" t="s">
        <v>41</v>
      </c>
      <c r="O4" s="5" t="s">
        <v>51</v>
      </c>
      <c r="P4" s="6" t="s">
        <v>42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4.0</v>
      </c>
      <c r="B5" s="4"/>
      <c r="C5" s="6" t="s">
        <v>52</v>
      </c>
      <c r="D5" s="6"/>
      <c r="E5" s="6"/>
      <c r="F5" s="6" t="s">
        <v>53</v>
      </c>
      <c r="G5" s="6"/>
      <c r="H5" s="6" t="s">
        <v>29</v>
      </c>
      <c r="I5" s="6"/>
      <c r="J5" s="11"/>
      <c r="K5" s="6"/>
      <c r="L5" s="11"/>
      <c r="M5" s="6" t="s">
        <v>54</v>
      </c>
      <c r="N5" s="17" t="s">
        <v>55</v>
      </c>
      <c r="O5" s="6" t="s">
        <v>56</v>
      </c>
      <c r="P5" s="6" t="s">
        <v>42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5.0</v>
      </c>
      <c r="B6" s="4"/>
      <c r="C6" s="6" t="s">
        <v>57</v>
      </c>
      <c r="D6" s="6"/>
      <c r="E6" s="6"/>
      <c r="F6" s="6" t="s">
        <v>58</v>
      </c>
      <c r="G6" s="6"/>
      <c r="H6" s="6" t="s">
        <v>29</v>
      </c>
      <c r="I6" s="6" t="s">
        <v>30</v>
      </c>
      <c r="J6" s="8" t="s">
        <v>32</v>
      </c>
      <c r="K6" s="6" t="s">
        <v>34</v>
      </c>
      <c r="L6" s="11" t="str">
        <f t="shared" ref="L6:L7" si="2">J6</f>
        <v>24/02/2023</v>
      </c>
      <c r="M6" s="6" t="s">
        <v>54</v>
      </c>
      <c r="N6" s="17" t="s">
        <v>55</v>
      </c>
      <c r="O6" s="6" t="s">
        <v>61</v>
      </c>
      <c r="P6" s="6" t="s">
        <v>42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6.0</v>
      </c>
      <c r="B7" s="4"/>
      <c r="C7" s="6" t="s">
        <v>65</v>
      </c>
      <c r="D7" s="6"/>
      <c r="E7" s="6"/>
      <c r="F7" s="6" t="s">
        <v>68</v>
      </c>
      <c r="G7" s="6" t="s">
        <v>69</v>
      </c>
      <c r="H7" s="6" t="s">
        <v>29</v>
      </c>
      <c r="I7" s="6" t="s">
        <v>70</v>
      </c>
      <c r="J7" s="8" t="s">
        <v>71</v>
      </c>
      <c r="K7" s="6" t="s">
        <v>34</v>
      </c>
      <c r="L7" s="11" t="str">
        <f t="shared" si="2"/>
        <v>29/9/2022</v>
      </c>
      <c r="M7" s="6" t="s">
        <v>54</v>
      </c>
      <c r="N7" s="17" t="s">
        <v>55</v>
      </c>
      <c r="O7" s="6" t="s">
        <v>72</v>
      </c>
      <c r="P7" s="6" t="s">
        <v>42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7.0</v>
      </c>
      <c r="B8" s="9"/>
      <c r="C8" s="19" t="s">
        <v>74</v>
      </c>
      <c r="D8" s="19"/>
      <c r="E8" s="19"/>
      <c r="F8" s="13"/>
      <c r="G8" s="13"/>
      <c r="H8" s="19" t="s">
        <v>75</v>
      </c>
      <c r="I8" s="13"/>
      <c r="J8" s="15"/>
      <c r="K8" s="13" t="s">
        <v>34</v>
      </c>
      <c r="L8" s="11"/>
      <c r="M8" s="13"/>
      <c r="N8" s="13"/>
      <c r="O8" s="13"/>
      <c r="P8" s="13"/>
      <c r="Q8" s="13" t="s">
        <v>76</v>
      </c>
      <c r="R8" s="13"/>
      <c r="S8" s="13"/>
      <c r="T8" s="13"/>
      <c r="U8" s="13"/>
      <c r="V8" s="13"/>
      <c r="W8" s="13"/>
      <c r="X8" s="13"/>
      <c r="Y8" s="13"/>
      <c r="Z8" s="13"/>
    </row>
    <row r="9">
      <c r="A9" s="4">
        <v>8.0</v>
      </c>
      <c r="B9" s="9"/>
      <c r="C9" s="19" t="s">
        <v>77</v>
      </c>
      <c r="D9" s="19"/>
      <c r="E9" s="19"/>
      <c r="F9" s="13"/>
      <c r="G9" s="13"/>
      <c r="H9" s="19" t="s">
        <v>75</v>
      </c>
      <c r="I9" s="13"/>
      <c r="J9" s="15"/>
      <c r="K9" s="13" t="s">
        <v>34</v>
      </c>
      <c r="L9" s="11"/>
      <c r="M9" s="13"/>
      <c r="N9" s="13"/>
      <c r="O9" s="13"/>
      <c r="P9" s="13"/>
      <c r="Q9" s="13" t="s">
        <v>76</v>
      </c>
      <c r="R9" s="13"/>
      <c r="S9" s="13"/>
      <c r="T9" s="13"/>
      <c r="U9" s="13"/>
      <c r="V9" s="13"/>
      <c r="W9" s="13"/>
      <c r="X9" s="13"/>
      <c r="Y9" s="13"/>
      <c r="Z9" s="13"/>
    </row>
    <row r="10">
      <c r="A10" s="4">
        <v>9.0</v>
      </c>
      <c r="B10" s="9"/>
      <c r="C10" s="19" t="s">
        <v>79</v>
      </c>
      <c r="D10" s="19"/>
      <c r="E10" s="19"/>
      <c r="F10" s="13"/>
      <c r="G10" s="13"/>
      <c r="H10" s="19" t="s">
        <v>75</v>
      </c>
      <c r="I10" s="13"/>
      <c r="J10" s="15"/>
      <c r="K10" s="13" t="s">
        <v>34</v>
      </c>
      <c r="L10" s="11"/>
      <c r="M10" s="13"/>
      <c r="N10" s="13"/>
      <c r="O10" s="13"/>
      <c r="P10" s="13"/>
      <c r="Q10" s="13" t="s">
        <v>76</v>
      </c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4">
        <v>10.0</v>
      </c>
      <c r="B11" s="9"/>
      <c r="C11" s="19" t="s">
        <v>80</v>
      </c>
      <c r="D11" s="19"/>
      <c r="E11" s="19"/>
      <c r="F11" s="13"/>
      <c r="G11" s="13"/>
      <c r="H11" s="19" t="s">
        <v>81</v>
      </c>
      <c r="I11" s="13"/>
      <c r="J11" s="15"/>
      <c r="K11" s="13" t="s">
        <v>34</v>
      </c>
      <c r="L11" s="11"/>
      <c r="M11" s="13"/>
      <c r="N11" s="13"/>
      <c r="O11" s="13"/>
      <c r="P11" s="13"/>
      <c r="Q11" s="13" t="s">
        <v>76</v>
      </c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4">
        <v>11.0</v>
      </c>
      <c r="B12" s="9"/>
      <c r="C12" s="19" t="s">
        <v>85</v>
      </c>
      <c r="D12" s="19"/>
      <c r="E12" s="19"/>
      <c r="F12" s="13"/>
      <c r="G12" s="13"/>
      <c r="H12" s="19" t="s">
        <v>86</v>
      </c>
      <c r="I12" s="13" t="s">
        <v>70</v>
      </c>
      <c r="J12" s="14" t="s">
        <v>71</v>
      </c>
      <c r="K12" s="13" t="s">
        <v>87</v>
      </c>
      <c r="L12" s="11" t="str">
        <f t="shared" ref="L12:L17" si="3">J12</f>
        <v>29/9/2022</v>
      </c>
      <c r="M12" s="13"/>
      <c r="N12" s="13"/>
      <c r="O12" s="13"/>
      <c r="P12" s="13"/>
      <c r="Q12" s="13" t="s">
        <v>76</v>
      </c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4">
        <v>12.0</v>
      </c>
      <c r="B13" s="4"/>
      <c r="C13" s="6" t="s">
        <v>89</v>
      </c>
      <c r="D13" s="6"/>
      <c r="E13" s="6"/>
      <c r="F13" s="6" t="s">
        <v>90</v>
      </c>
      <c r="G13" s="6"/>
      <c r="H13" s="6" t="s">
        <v>91</v>
      </c>
      <c r="I13" s="6" t="s">
        <v>70</v>
      </c>
      <c r="J13" s="8" t="s">
        <v>71</v>
      </c>
      <c r="K13" s="6" t="s">
        <v>92</v>
      </c>
      <c r="L13" s="11" t="str">
        <f t="shared" si="3"/>
        <v>29/9/2022</v>
      </c>
      <c r="M13" s="6" t="s">
        <v>54</v>
      </c>
      <c r="N13" s="17" t="s">
        <v>55</v>
      </c>
      <c r="O13" s="6" t="s">
        <v>93</v>
      </c>
      <c r="P13" s="6" t="s">
        <v>42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>
        <v>13.0</v>
      </c>
      <c r="B14" s="4"/>
      <c r="C14" s="6" t="s">
        <v>95</v>
      </c>
      <c r="D14" s="6"/>
      <c r="E14" s="6"/>
      <c r="F14" s="6" t="s">
        <v>96</v>
      </c>
      <c r="G14" s="6" t="s">
        <v>98</v>
      </c>
      <c r="H14" s="6" t="s">
        <v>91</v>
      </c>
      <c r="I14" s="6" t="s">
        <v>70</v>
      </c>
      <c r="J14" s="8" t="s">
        <v>71</v>
      </c>
      <c r="K14" s="6" t="s">
        <v>92</v>
      </c>
      <c r="L14" s="11" t="str">
        <f t="shared" si="3"/>
        <v>29/9/2022</v>
      </c>
      <c r="M14" s="6" t="s">
        <v>54</v>
      </c>
      <c r="N14" s="17" t="s">
        <v>55</v>
      </c>
      <c r="O14" s="6" t="s">
        <v>102</v>
      </c>
      <c r="P14" s="6" t="s">
        <v>42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>
        <v>14.0</v>
      </c>
      <c r="B15" s="4"/>
      <c r="C15" s="13" t="s">
        <v>103</v>
      </c>
      <c r="D15" s="13"/>
      <c r="E15" s="13"/>
      <c r="F15" s="6" t="s">
        <v>104</v>
      </c>
      <c r="G15" s="6" t="s">
        <v>45</v>
      </c>
      <c r="H15" s="6" t="s">
        <v>91</v>
      </c>
      <c r="I15" s="6" t="s">
        <v>70</v>
      </c>
      <c r="J15" s="8" t="s">
        <v>71</v>
      </c>
      <c r="K15" s="6" t="s">
        <v>92</v>
      </c>
      <c r="L15" s="11" t="str">
        <f t="shared" si="3"/>
        <v>29/9/2022</v>
      </c>
      <c r="M15" s="6" t="s">
        <v>54</v>
      </c>
      <c r="N15" s="17" t="s">
        <v>55</v>
      </c>
      <c r="O15" s="6" t="s">
        <v>108</v>
      </c>
      <c r="P15" s="6" t="s">
        <v>42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>
        <v>15.0</v>
      </c>
      <c r="B16" s="4"/>
      <c r="C16" s="6" t="s">
        <v>112</v>
      </c>
      <c r="D16" s="6"/>
      <c r="E16" s="6"/>
      <c r="F16" s="6" t="s">
        <v>114</v>
      </c>
      <c r="G16" s="6" t="s">
        <v>115</v>
      </c>
      <c r="H16" s="6" t="s">
        <v>91</v>
      </c>
      <c r="I16" s="6" t="s">
        <v>70</v>
      </c>
      <c r="J16" s="8" t="s">
        <v>71</v>
      </c>
      <c r="K16" s="6" t="s">
        <v>92</v>
      </c>
      <c r="L16" s="11" t="str">
        <f t="shared" si="3"/>
        <v>29/9/2022</v>
      </c>
      <c r="M16" s="6" t="s">
        <v>54</v>
      </c>
      <c r="N16" s="17" t="s">
        <v>55</v>
      </c>
      <c r="O16" s="6" t="s">
        <v>116</v>
      </c>
      <c r="P16" s="6" t="s">
        <v>42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>
        <v>16.0</v>
      </c>
      <c r="B17" s="4"/>
      <c r="C17" s="6" t="s">
        <v>120</v>
      </c>
      <c r="D17" s="6"/>
      <c r="E17" s="6"/>
      <c r="F17" s="6" t="s">
        <v>121</v>
      </c>
      <c r="G17" s="6" t="s">
        <v>122</v>
      </c>
      <c r="H17" s="6" t="s">
        <v>91</v>
      </c>
      <c r="I17" s="6" t="s">
        <v>70</v>
      </c>
      <c r="J17" s="8" t="s">
        <v>71</v>
      </c>
      <c r="K17" s="6" t="s">
        <v>92</v>
      </c>
      <c r="L17" s="11" t="str">
        <f t="shared" si="3"/>
        <v>29/9/2022</v>
      </c>
      <c r="M17" s="6" t="s">
        <v>54</v>
      </c>
      <c r="N17" s="17" t="s">
        <v>55</v>
      </c>
      <c r="O17" s="6" t="s">
        <v>124</v>
      </c>
      <c r="P17" s="6" t="s">
        <v>42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>
        <v>17.0</v>
      </c>
      <c r="B18" s="4"/>
      <c r="C18" s="6" t="s">
        <v>125</v>
      </c>
      <c r="D18" s="6"/>
      <c r="E18" s="6"/>
      <c r="F18" s="6"/>
      <c r="G18" s="6" t="s">
        <v>115</v>
      </c>
      <c r="H18" s="6" t="s">
        <v>86</v>
      </c>
      <c r="I18" s="6"/>
      <c r="J18" s="11"/>
      <c r="K18" s="6"/>
      <c r="L18" s="11"/>
      <c r="M18" s="5" t="s">
        <v>40</v>
      </c>
      <c r="N18" s="12" t="s">
        <v>41</v>
      </c>
      <c r="O18" s="5" t="s">
        <v>126</v>
      </c>
      <c r="P18" s="6" t="s">
        <v>42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>
        <v>18.0</v>
      </c>
      <c r="B19" s="29"/>
      <c r="C19" s="30" t="s">
        <v>131</v>
      </c>
      <c r="D19" s="30"/>
      <c r="E19" s="30"/>
      <c r="F19" s="30" t="s">
        <v>132</v>
      </c>
      <c r="G19" s="30" t="s">
        <v>122</v>
      </c>
      <c r="H19" s="30" t="s">
        <v>133</v>
      </c>
      <c r="I19" s="30" t="s">
        <v>70</v>
      </c>
      <c r="J19" s="31" t="s">
        <v>71</v>
      </c>
      <c r="K19" s="30" t="s">
        <v>135</v>
      </c>
      <c r="L19" s="11" t="str">
        <f>J19</f>
        <v>29/9/2022</v>
      </c>
      <c r="M19" s="30" t="s">
        <v>54</v>
      </c>
      <c r="N19" s="32" t="s">
        <v>55</v>
      </c>
      <c r="O19" s="30" t="s">
        <v>138</v>
      </c>
      <c r="P19" s="30" t="s">
        <v>42</v>
      </c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4">
        <v>19.0</v>
      </c>
      <c r="B20" s="29"/>
      <c r="C20" s="30" t="s">
        <v>141</v>
      </c>
      <c r="D20" s="30"/>
      <c r="E20" s="30"/>
      <c r="F20" s="30" t="s">
        <v>142</v>
      </c>
      <c r="G20" s="30"/>
      <c r="H20" s="30" t="s">
        <v>133</v>
      </c>
      <c r="I20" s="30"/>
      <c r="J20" s="36"/>
      <c r="K20" s="30"/>
      <c r="L20" s="11"/>
      <c r="M20" s="30" t="s">
        <v>54</v>
      </c>
      <c r="N20" s="32" t="s">
        <v>55</v>
      </c>
      <c r="O20" s="30" t="s">
        <v>144</v>
      </c>
      <c r="P20" s="30" t="s">
        <v>42</v>
      </c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4">
        <v>20.0</v>
      </c>
      <c r="B21" s="29"/>
      <c r="C21" s="30" t="s">
        <v>147</v>
      </c>
      <c r="D21" s="30"/>
      <c r="E21" s="30"/>
      <c r="F21" s="30" t="s">
        <v>150</v>
      </c>
      <c r="G21" s="30" t="s">
        <v>98</v>
      </c>
      <c r="H21" s="30" t="s">
        <v>133</v>
      </c>
      <c r="I21" s="30"/>
      <c r="J21" s="36"/>
      <c r="K21" s="30"/>
      <c r="L21" s="11"/>
      <c r="M21" s="30" t="s">
        <v>54</v>
      </c>
      <c r="N21" s="32" t="s">
        <v>55</v>
      </c>
      <c r="O21" s="30" t="s">
        <v>152</v>
      </c>
      <c r="P21" s="30" t="s">
        <v>42</v>
      </c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4">
        <v>21.0</v>
      </c>
      <c r="B22" s="29"/>
      <c r="C22" s="30" t="s">
        <v>156</v>
      </c>
      <c r="D22" s="30"/>
      <c r="E22" s="30"/>
      <c r="F22" s="30" t="s">
        <v>158</v>
      </c>
      <c r="G22" s="30" t="s">
        <v>115</v>
      </c>
      <c r="H22" s="30" t="s">
        <v>133</v>
      </c>
      <c r="I22" s="30"/>
      <c r="J22" s="36"/>
      <c r="K22" s="30"/>
      <c r="L22" s="11"/>
      <c r="M22" s="30" t="s">
        <v>54</v>
      </c>
      <c r="N22" s="32" t="s">
        <v>55</v>
      </c>
      <c r="O22" s="30" t="s">
        <v>160</v>
      </c>
      <c r="P22" s="30" t="s">
        <v>42</v>
      </c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4">
        <v>22.0</v>
      </c>
      <c r="B23" s="29"/>
      <c r="C23" s="30" t="s">
        <v>162</v>
      </c>
      <c r="D23" s="30"/>
      <c r="E23" s="30"/>
      <c r="F23" s="30" t="s">
        <v>163</v>
      </c>
      <c r="G23" s="30"/>
      <c r="H23" s="30" t="s">
        <v>83</v>
      </c>
      <c r="I23" s="30" t="s">
        <v>30</v>
      </c>
      <c r="J23" s="31" t="s">
        <v>32</v>
      </c>
      <c r="K23" s="30" t="s">
        <v>84</v>
      </c>
      <c r="L23" s="11" t="str">
        <f t="shared" ref="L23:L26" si="4">J23</f>
        <v>24/02/2023</v>
      </c>
      <c r="M23" s="30" t="s">
        <v>54</v>
      </c>
      <c r="N23" s="32" t="s">
        <v>55</v>
      </c>
      <c r="O23" s="30" t="s">
        <v>165</v>
      </c>
      <c r="P23" s="30" t="s">
        <v>42</v>
      </c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4">
        <v>23.0</v>
      </c>
      <c r="B24" s="29"/>
      <c r="C24" s="30" t="s">
        <v>167</v>
      </c>
      <c r="D24" s="30"/>
      <c r="E24" s="30"/>
      <c r="F24" s="30" t="s">
        <v>168</v>
      </c>
      <c r="G24" s="30" t="s">
        <v>115</v>
      </c>
      <c r="H24" s="30" t="s">
        <v>83</v>
      </c>
      <c r="I24" s="30" t="s">
        <v>30</v>
      </c>
      <c r="J24" s="31" t="s">
        <v>32</v>
      </c>
      <c r="K24" s="30" t="s">
        <v>84</v>
      </c>
      <c r="L24" s="11" t="str">
        <f t="shared" si="4"/>
        <v>24/02/2023</v>
      </c>
      <c r="M24" s="30" t="s">
        <v>54</v>
      </c>
      <c r="N24" s="32" t="s">
        <v>55</v>
      </c>
      <c r="O24" s="30" t="s">
        <v>169</v>
      </c>
      <c r="P24" s="30" t="s">
        <v>42</v>
      </c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4">
        <v>24.0</v>
      </c>
      <c r="B25" s="29"/>
      <c r="C25" s="30" t="s">
        <v>172</v>
      </c>
      <c r="D25" s="30"/>
      <c r="E25" s="30"/>
      <c r="F25" s="30" t="s">
        <v>173</v>
      </c>
      <c r="G25" s="30"/>
      <c r="H25" s="30" t="s">
        <v>60</v>
      </c>
      <c r="I25" s="30" t="s">
        <v>70</v>
      </c>
      <c r="J25" s="31" t="s">
        <v>71</v>
      </c>
      <c r="K25" s="30" t="s">
        <v>62</v>
      </c>
      <c r="L25" s="11" t="str">
        <f t="shared" si="4"/>
        <v>29/9/2022</v>
      </c>
      <c r="M25" s="30" t="s">
        <v>54</v>
      </c>
      <c r="N25" s="32" t="s">
        <v>55</v>
      </c>
      <c r="O25" s="30" t="s">
        <v>174</v>
      </c>
      <c r="P25" s="30" t="s">
        <v>42</v>
      </c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4">
        <v>25.0</v>
      </c>
      <c r="B26" s="29"/>
      <c r="C26" s="30" t="s">
        <v>176</v>
      </c>
      <c r="D26" s="30"/>
      <c r="E26" s="30"/>
      <c r="F26" s="30" t="s">
        <v>177</v>
      </c>
      <c r="G26" s="30" t="s">
        <v>45</v>
      </c>
      <c r="H26" s="30" t="s">
        <v>60</v>
      </c>
      <c r="I26" s="30" t="s">
        <v>70</v>
      </c>
      <c r="J26" s="31" t="s">
        <v>71</v>
      </c>
      <c r="K26" s="30" t="s">
        <v>62</v>
      </c>
      <c r="L26" s="11" t="str">
        <f t="shared" si="4"/>
        <v>29/9/2022</v>
      </c>
      <c r="M26" s="30" t="s">
        <v>54</v>
      </c>
      <c r="N26" s="32" t="s">
        <v>55</v>
      </c>
      <c r="O26" s="30" t="s">
        <v>178</v>
      </c>
      <c r="P26" s="30" t="s">
        <v>42</v>
      </c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4">
        <v>26.0</v>
      </c>
      <c r="B27" s="29"/>
      <c r="C27" s="30" t="s">
        <v>179</v>
      </c>
      <c r="D27" s="30"/>
      <c r="E27" s="30"/>
      <c r="F27" s="30" t="s">
        <v>180</v>
      </c>
      <c r="G27" s="30" t="s">
        <v>115</v>
      </c>
      <c r="H27" s="30" t="s">
        <v>60</v>
      </c>
      <c r="I27" s="30" t="s">
        <v>46</v>
      </c>
      <c r="J27" s="31" t="s">
        <v>47</v>
      </c>
      <c r="K27" s="38" t="s">
        <v>181</v>
      </c>
      <c r="L27" s="14" t="s">
        <v>149</v>
      </c>
      <c r="M27" s="30" t="s">
        <v>54</v>
      </c>
      <c r="N27" s="32" t="s">
        <v>55</v>
      </c>
      <c r="O27" s="30" t="s">
        <v>182</v>
      </c>
      <c r="P27" s="30" t="s">
        <v>42</v>
      </c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4">
        <v>27.0</v>
      </c>
      <c r="B28" s="37"/>
      <c r="C28" s="38" t="s">
        <v>183</v>
      </c>
      <c r="D28" s="38"/>
      <c r="E28" s="38"/>
      <c r="F28" s="38" t="s">
        <v>184</v>
      </c>
      <c r="G28" s="38" t="s">
        <v>122</v>
      </c>
      <c r="H28" s="38" t="s">
        <v>60</v>
      </c>
      <c r="I28" s="38" t="s">
        <v>46</v>
      </c>
      <c r="J28" s="41" t="s">
        <v>47</v>
      </c>
      <c r="K28" s="38" t="s">
        <v>181</v>
      </c>
      <c r="L28" s="14" t="s">
        <v>149</v>
      </c>
      <c r="M28" s="38" t="s">
        <v>54</v>
      </c>
      <c r="N28" s="42" t="s">
        <v>55</v>
      </c>
      <c r="O28" s="38" t="s">
        <v>186</v>
      </c>
      <c r="P28" s="38" t="s">
        <v>42</v>
      </c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4">
        <v>28.0</v>
      </c>
      <c r="B29" s="37"/>
      <c r="C29" s="38" t="s">
        <v>188</v>
      </c>
      <c r="D29" s="38"/>
      <c r="E29" s="38"/>
      <c r="F29" s="38" t="s">
        <v>189</v>
      </c>
      <c r="G29" s="38" t="s">
        <v>190</v>
      </c>
      <c r="H29" s="38" t="s">
        <v>60</v>
      </c>
      <c r="I29" s="38" t="s">
        <v>46</v>
      </c>
      <c r="J29" s="41" t="s">
        <v>47</v>
      </c>
      <c r="K29" s="38" t="s">
        <v>181</v>
      </c>
      <c r="L29" s="14" t="s">
        <v>149</v>
      </c>
      <c r="M29" s="38" t="s">
        <v>54</v>
      </c>
      <c r="N29" s="42" t="s">
        <v>55</v>
      </c>
      <c r="O29" s="38" t="s">
        <v>191</v>
      </c>
      <c r="P29" s="38" t="s">
        <v>42</v>
      </c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4">
        <v>29.0</v>
      </c>
      <c r="B30" s="29"/>
      <c r="C30" s="30" t="s">
        <v>192</v>
      </c>
      <c r="D30" s="30"/>
      <c r="E30" s="30"/>
      <c r="F30" s="30" t="s">
        <v>193</v>
      </c>
      <c r="G30" s="30"/>
      <c r="H30" s="30" t="s">
        <v>97</v>
      </c>
      <c r="I30" s="30" t="s">
        <v>30</v>
      </c>
      <c r="J30" s="31" t="s">
        <v>32</v>
      </c>
      <c r="K30" s="30" t="s">
        <v>101</v>
      </c>
      <c r="L30" s="11" t="str">
        <f t="shared" ref="L30:L49" si="5">J30</f>
        <v>24/02/2023</v>
      </c>
      <c r="M30" s="30" t="s">
        <v>54</v>
      </c>
      <c r="N30" s="32" t="s">
        <v>55</v>
      </c>
      <c r="O30" s="30" t="s">
        <v>194</v>
      </c>
      <c r="P30" s="30" t="s">
        <v>42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4">
        <v>30.0</v>
      </c>
      <c r="B31" s="29"/>
      <c r="C31" s="30" t="s">
        <v>195</v>
      </c>
      <c r="D31" s="30"/>
      <c r="E31" s="30"/>
      <c r="F31" s="30" t="s">
        <v>196</v>
      </c>
      <c r="G31" s="30" t="s">
        <v>98</v>
      </c>
      <c r="H31" s="30" t="s">
        <v>97</v>
      </c>
      <c r="I31" s="30" t="s">
        <v>30</v>
      </c>
      <c r="J31" s="31" t="s">
        <v>32</v>
      </c>
      <c r="K31" s="30" t="s">
        <v>101</v>
      </c>
      <c r="L31" s="11" t="str">
        <f t="shared" si="5"/>
        <v>24/02/2023</v>
      </c>
      <c r="M31" s="30" t="s">
        <v>54</v>
      </c>
      <c r="N31" s="32" t="s">
        <v>55</v>
      </c>
      <c r="O31" s="30" t="s">
        <v>197</v>
      </c>
      <c r="P31" s="30" t="s">
        <v>42</v>
      </c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4">
        <v>31.0</v>
      </c>
      <c r="B32" s="29"/>
      <c r="C32" s="30" t="s">
        <v>198</v>
      </c>
      <c r="D32" s="30"/>
      <c r="E32" s="30"/>
      <c r="F32" s="30" t="s">
        <v>199</v>
      </c>
      <c r="G32" s="30" t="s">
        <v>190</v>
      </c>
      <c r="H32" s="30" t="s">
        <v>97</v>
      </c>
      <c r="I32" s="30" t="s">
        <v>46</v>
      </c>
      <c r="J32" s="36" t="s">
        <v>47</v>
      </c>
      <c r="K32" s="30" t="s">
        <v>101</v>
      </c>
      <c r="L32" s="11" t="str">
        <f t="shared" si="5"/>
        <v>27/5/2022</v>
      </c>
      <c r="M32" s="30" t="s">
        <v>54</v>
      </c>
      <c r="N32" s="32" t="s">
        <v>55</v>
      </c>
      <c r="O32" s="30" t="s">
        <v>200</v>
      </c>
      <c r="P32" s="30" t="s">
        <v>42</v>
      </c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4">
        <v>32.0</v>
      </c>
      <c r="B33" s="29"/>
      <c r="C33" s="30" t="s">
        <v>201</v>
      </c>
      <c r="D33" s="30"/>
      <c r="E33" s="30"/>
      <c r="F33" s="30" t="s">
        <v>202</v>
      </c>
      <c r="G33" s="30" t="s">
        <v>122</v>
      </c>
      <c r="H33" s="30" t="s">
        <v>97</v>
      </c>
      <c r="I33" s="30" t="s">
        <v>46</v>
      </c>
      <c r="J33" s="31" t="s">
        <v>47</v>
      </c>
      <c r="K33" s="30" t="s">
        <v>101</v>
      </c>
      <c r="L33" s="11" t="str">
        <f t="shared" si="5"/>
        <v>27/5/2022</v>
      </c>
      <c r="M33" s="30" t="s">
        <v>54</v>
      </c>
      <c r="N33" s="32" t="s">
        <v>55</v>
      </c>
      <c r="O33" s="30" t="s">
        <v>203</v>
      </c>
      <c r="P33" s="30" t="s">
        <v>42</v>
      </c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4">
        <v>33.0</v>
      </c>
      <c r="B34" s="6">
        <v>1.0</v>
      </c>
      <c r="C34" s="43" t="s">
        <v>204</v>
      </c>
      <c r="D34" s="6"/>
      <c r="E34" s="6"/>
      <c r="F34" s="6"/>
      <c r="G34" s="6"/>
      <c r="H34" s="6" t="s">
        <v>60</v>
      </c>
      <c r="I34" s="6" t="s">
        <v>46</v>
      </c>
      <c r="J34" s="8" t="s">
        <v>47</v>
      </c>
      <c r="K34" s="6" t="s">
        <v>205</v>
      </c>
      <c r="L34" s="11" t="str">
        <f t="shared" si="5"/>
        <v>27/5/2022</v>
      </c>
      <c r="M34" s="6"/>
      <c r="N34" s="6"/>
      <c r="O34" s="6"/>
      <c r="P34" s="6"/>
      <c r="Q34" s="6" t="s">
        <v>206</v>
      </c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4">
        <v>34.0</v>
      </c>
      <c r="B35" s="6">
        <v>2.0</v>
      </c>
      <c r="C35" s="6" t="s">
        <v>207</v>
      </c>
      <c r="D35" s="6"/>
      <c r="E35" s="6"/>
      <c r="F35" s="6"/>
      <c r="G35" s="6"/>
      <c r="H35" s="6" t="s">
        <v>60</v>
      </c>
      <c r="I35" s="6" t="s">
        <v>46</v>
      </c>
      <c r="J35" s="8" t="s">
        <v>47</v>
      </c>
      <c r="K35" s="6" t="s">
        <v>205</v>
      </c>
      <c r="L35" s="11" t="str">
        <f t="shared" si="5"/>
        <v>27/5/2022</v>
      </c>
      <c r="M35" s="6"/>
      <c r="N35" s="6"/>
      <c r="O35" s="6"/>
      <c r="P35" s="6"/>
      <c r="Q35" s="6" t="s">
        <v>206</v>
      </c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4">
        <v>35.0</v>
      </c>
      <c r="B36" s="6">
        <v>3.0</v>
      </c>
      <c r="C36" s="6" t="s">
        <v>208</v>
      </c>
      <c r="D36" s="6"/>
      <c r="E36" s="6"/>
      <c r="F36" s="6"/>
      <c r="G36" s="6"/>
      <c r="H36" s="6" t="s">
        <v>60</v>
      </c>
      <c r="I36" s="6" t="s">
        <v>46</v>
      </c>
      <c r="J36" s="8" t="s">
        <v>47</v>
      </c>
      <c r="K36" s="6" t="s">
        <v>205</v>
      </c>
      <c r="L36" s="11" t="str">
        <f t="shared" si="5"/>
        <v>27/5/2022</v>
      </c>
      <c r="M36" s="6"/>
      <c r="N36" s="6"/>
      <c r="O36" s="6"/>
      <c r="P36" s="6"/>
      <c r="Q36" s="6" t="s">
        <v>206</v>
      </c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4">
        <v>36.0</v>
      </c>
      <c r="B37" s="6">
        <v>4.0</v>
      </c>
      <c r="C37" s="6" t="s">
        <v>209</v>
      </c>
      <c r="D37" s="6"/>
      <c r="E37" s="6"/>
      <c r="F37" s="6"/>
      <c r="G37" s="6"/>
      <c r="H37" s="6" t="s">
        <v>60</v>
      </c>
      <c r="I37" s="6" t="s">
        <v>70</v>
      </c>
      <c r="J37" s="8" t="s">
        <v>71</v>
      </c>
      <c r="K37" s="6" t="s">
        <v>62</v>
      </c>
      <c r="L37" s="11" t="str">
        <f t="shared" si="5"/>
        <v>29/9/2022</v>
      </c>
      <c r="M37" s="6"/>
      <c r="N37" s="6"/>
      <c r="O37" s="6"/>
      <c r="P37" s="6"/>
      <c r="Q37" s="6" t="s">
        <v>206</v>
      </c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4">
        <v>37.0</v>
      </c>
      <c r="B38" s="44">
        <v>5.0</v>
      </c>
      <c r="C38" s="45" t="s">
        <v>210</v>
      </c>
      <c r="D38" s="44"/>
      <c r="E38" s="44"/>
      <c r="F38" s="44"/>
      <c r="G38" s="44"/>
      <c r="H38" s="44" t="s">
        <v>97</v>
      </c>
      <c r="I38" s="44" t="s">
        <v>46</v>
      </c>
      <c r="J38" s="46" t="s">
        <v>47</v>
      </c>
      <c r="K38" s="44" t="s">
        <v>101</v>
      </c>
      <c r="L38" s="11" t="str">
        <f t="shared" si="5"/>
        <v>27/5/2022</v>
      </c>
      <c r="M38" s="44"/>
      <c r="N38" s="44"/>
      <c r="O38" s="44"/>
      <c r="P38" s="44"/>
      <c r="Q38" s="44" t="s">
        <v>206</v>
      </c>
      <c r="R38" s="44"/>
      <c r="S38" s="44"/>
      <c r="T38" s="44"/>
      <c r="U38" s="44"/>
      <c r="V38" s="44"/>
      <c r="W38" s="44"/>
      <c r="X38" s="44"/>
      <c r="Y38" s="44"/>
      <c r="Z38" s="44"/>
    </row>
    <row r="39" ht="15.75" customHeight="1">
      <c r="A39" s="47">
        <v>38.0</v>
      </c>
      <c r="B39" s="44">
        <v>6.0</v>
      </c>
      <c r="C39" s="44" t="s">
        <v>211</v>
      </c>
      <c r="D39" s="44"/>
      <c r="E39" s="44"/>
      <c r="F39" s="44"/>
      <c r="G39" s="44"/>
      <c r="H39" s="44" t="s">
        <v>111</v>
      </c>
      <c r="I39" s="44" t="s">
        <v>30</v>
      </c>
      <c r="J39" s="46" t="s">
        <v>32</v>
      </c>
      <c r="K39" s="48" t="s">
        <v>135</v>
      </c>
      <c r="L39" s="49" t="str">
        <f t="shared" si="5"/>
        <v>24/02/2023</v>
      </c>
      <c r="M39" s="44"/>
      <c r="N39" s="44"/>
      <c r="O39" s="44"/>
      <c r="P39" s="44"/>
      <c r="Q39" s="44" t="s">
        <v>206</v>
      </c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4">
        <v>39.0</v>
      </c>
      <c r="B40" s="6">
        <v>7.0</v>
      </c>
      <c r="C40" s="6" t="s">
        <v>212</v>
      </c>
      <c r="D40" s="6"/>
      <c r="E40" s="6"/>
      <c r="F40" s="6"/>
      <c r="G40" s="6"/>
      <c r="H40" s="6" t="s">
        <v>133</v>
      </c>
      <c r="I40" s="6" t="s">
        <v>30</v>
      </c>
      <c r="J40" s="8" t="s">
        <v>32</v>
      </c>
      <c r="K40" s="6" t="s">
        <v>135</v>
      </c>
      <c r="L40" s="11" t="str">
        <f t="shared" si="5"/>
        <v>24/02/2023</v>
      </c>
      <c r="M40" s="6"/>
      <c r="N40" s="6"/>
      <c r="O40" s="6"/>
      <c r="P40" s="6"/>
      <c r="Q40" s="6" t="s">
        <v>206</v>
      </c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4">
        <v>40.0</v>
      </c>
      <c r="B41" s="6">
        <v>8.0</v>
      </c>
      <c r="C41" s="6" t="s">
        <v>213</v>
      </c>
      <c r="D41" s="6"/>
      <c r="E41" s="6"/>
      <c r="F41" s="6"/>
      <c r="G41" s="6"/>
      <c r="H41" s="6" t="s">
        <v>133</v>
      </c>
      <c r="I41" s="6" t="s">
        <v>30</v>
      </c>
      <c r="J41" s="8" t="s">
        <v>32</v>
      </c>
      <c r="K41" s="6" t="s">
        <v>135</v>
      </c>
      <c r="L41" s="11" t="str">
        <f t="shared" si="5"/>
        <v>24/02/2023</v>
      </c>
      <c r="M41" s="6"/>
      <c r="N41" s="6"/>
      <c r="O41" s="6"/>
      <c r="P41" s="6"/>
      <c r="Q41" s="6" t="s">
        <v>206</v>
      </c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4">
        <v>41.0</v>
      </c>
      <c r="B42" s="6">
        <v>9.0</v>
      </c>
      <c r="C42" s="6" t="s">
        <v>214</v>
      </c>
      <c r="D42" s="6"/>
      <c r="E42" s="6"/>
      <c r="F42" s="6"/>
      <c r="G42" s="6"/>
      <c r="H42" s="6" t="s">
        <v>133</v>
      </c>
      <c r="I42" s="6" t="s">
        <v>30</v>
      </c>
      <c r="J42" s="8" t="s">
        <v>32</v>
      </c>
      <c r="K42" s="6" t="s">
        <v>135</v>
      </c>
      <c r="L42" s="11" t="str">
        <f t="shared" si="5"/>
        <v>24/02/2023</v>
      </c>
      <c r="M42" s="6"/>
      <c r="N42" s="6"/>
      <c r="O42" s="6"/>
      <c r="P42" s="6"/>
      <c r="Q42" s="6" t="s">
        <v>206</v>
      </c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4">
        <v>42.0</v>
      </c>
      <c r="B43" s="6">
        <v>10.0</v>
      </c>
      <c r="C43" s="6" t="s">
        <v>215</v>
      </c>
      <c r="D43" s="6"/>
      <c r="E43" s="6"/>
      <c r="F43" s="6"/>
      <c r="G43" s="6"/>
      <c r="H43" s="6" t="s">
        <v>133</v>
      </c>
      <c r="I43" s="6" t="s">
        <v>30</v>
      </c>
      <c r="J43" s="8" t="s">
        <v>32</v>
      </c>
      <c r="K43" s="6" t="s">
        <v>135</v>
      </c>
      <c r="L43" s="11" t="str">
        <f t="shared" si="5"/>
        <v>24/02/2023</v>
      </c>
      <c r="M43" s="6"/>
      <c r="N43" s="6"/>
      <c r="O43" s="6"/>
      <c r="P43" s="6"/>
      <c r="Q43" s="6" t="s">
        <v>206</v>
      </c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4">
        <v>43.0</v>
      </c>
      <c r="B44" s="6">
        <v>11.0</v>
      </c>
      <c r="C44" s="6" t="s">
        <v>216</v>
      </c>
      <c r="D44" s="6"/>
      <c r="E44" s="6"/>
      <c r="F44" s="6"/>
      <c r="G44" s="6"/>
      <c r="H44" s="6" t="s">
        <v>133</v>
      </c>
      <c r="I44" s="6" t="s">
        <v>30</v>
      </c>
      <c r="J44" s="8" t="s">
        <v>32</v>
      </c>
      <c r="K44" s="6" t="s">
        <v>135</v>
      </c>
      <c r="L44" s="11" t="str">
        <f t="shared" si="5"/>
        <v>24/02/2023</v>
      </c>
      <c r="M44" s="6"/>
      <c r="N44" s="6"/>
      <c r="O44" s="6"/>
      <c r="P44" s="6"/>
      <c r="Q44" s="6" t="s">
        <v>206</v>
      </c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4">
        <v>44.0</v>
      </c>
      <c r="B45" s="6">
        <v>12.0</v>
      </c>
      <c r="C45" s="6" t="s">
        <v>59</v>
      </c>
      <c r="D45" s="6"/>
      <c r="E45" s="6"/>
      <c r="F45" s="6"/>
      <c r="G45" s="6"/>
      <c r="H45" s="6" t="s">
        <v>60</v>
      </c>
      <c r="I45" s="6" t="s">
        <v>30</v>
      </c>
      <c r="J45" s="8" t="s">
        <v>32</v>
      </c>
      <c r="K45" s="6" t="s">
        <v>62</v>
      </c>
      <c r="L45" s="11" t="str">
        <f t="shared" si="5"/>
        <v>24/02/2023</v>
      </c>
      <c r="M45" s="6"/>
      <c r="N45" s="6"/>
      <c r="O45" s="6"/>
      <c r="P45" s="6"/>
      <c r="Q45" s="6" t="s">
        <v>206</v>
      </c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4">
        <v>45.0</v>
      </c>
      <c r="B46" s="6">
        <v>13.0</v>
      </c>
      <c r="C46" s="6" t="s">
        <v>73</v>
      </c>
      <c r="D46" s="6"/>
      <c r="E46" s="6"/>
      <c r="F46" s="6"/>
      <c r="G46" s="6"/>
      <c r="H46" s="6" t="s">
        <v>60</v>
      </c>
      <c r="I46" s="6" t="s">
        <v>30</v>
      </c>
      <c r="J46" s="8" t="s">
        <v>32</v>
      </c>
      <c r="K46" s="6" t="s">
        <v>62</v>
      </c>
      <c r="L46" s="11" t="str">
        <f t="shared" si="5"/>
        <v>24/02/2023</v>
      </c>
      <c r="M46" s="6"/>
      <c r="N46" s="6"/>
      <c r="O46" s="6"/>
      <c r="P46" s="6"/>
      <c r="Q46" s="6" t="s">
        <v>206</v>
      </c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4">
        <v>46.0</v>
      </c>
      <c r="B47" s="6">
        <v>14.0</v>
      </c>
      <c r="C47" s="6" t="s">
        <v>78</v>
      </c>
      <c r="D47" s="6"/>
      <c r="E47" s="6"/>
      <c r="F47" s="6"/>
      <c r="G47" s="6"/>
      <c r="H47" s="6" t="s">
        <v>60</v>
      </c>
      <c r="I47" s="6" t="s">
        <v>30</v>
      </c>
      <c r="J47" s="8" t="s">
        <v>32</v>
      </c>
      <c r="K47" s="6" t="s">
        <v>62</v>
      </c>
      <c r="L47" s="11" t="str">
        <f t="shared" si="5"/>
        <v>24/02/2023</v>
      </c>
      <c r="M47" s="6"/>
      <c r="N47" s="6"/>
      <c r="O47" s="6"/>
      <c r="P47" s="6"/>
      <c r="Q47" s="6" t="s">
        <v>206</v>
      </c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4">
        <v>47.0</v>
      </c>
      <c r="B48" s="6">
        <v>15.0</v>
      </c>
      <c r="C48" s="6" t="s">
        <v>82</v>
      </c>
      <c r="D48" s="6"/>
      <c r="E48" s="6"/>
      <c r="F48" s="6"/>
      <c r="G48" s="6"/>
      <c r="H48" s="20" t="s">
        <v>83</v>
      </c>
      <c r="I48" s="6" t="s">
        <v>30</v>
      </c>
      <c r="J48" s="8" t="s">
        <v>32</v>
      </c>
      <c r="K48" s="6" t="s">
        <v>84</v>
      </c>
      <c r="L48" s="11" t="str">
        <f t="shared" si="5"/>
        <v>24/02/2023</v>
      </c>
      <c r="M48" s="6"/>
      <c r="N48" s="6"/>
      <c r="O48" s="6"/>
      <c r="P48" s="6"/>
      <c r="Q48" s="6" t="s">
        <v>206</v>
      </c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4">
        <v>48.0</v>
      </c>
      <c r="B49" s="6">
        <v>16.0</v>
      </c>
      <c r="C49" s="6" t="s">
        <v>88</v>
      </c>
      <c r="D49" s="6"/>
      <c r="E49" s="6"/>
      <c r="F49" s="6"/>
      <c r="G49" s="6"/>
      <c r="H49" s="20" t="s">
        <v>83</v>
      </c>
      <c r="I49" s="6" t="s">
        <v>30</v>
      </c>
      <c r="J49" s="8" t="s">
        <v>32</v>
      </c>
      <c r="K49" s="6" t="s">
        <v>84</v>
      </c>
      <c r="L49" s="11" t="str">
        <f t="shared" si="5"/>
        <v>24/02/2023</v>
      </c>
      <c r="M49" s="6"/>
      <c r="N49" s="6"/>
      <c r="O49" s="6"/>
      <c r="P49" s="6"/>
      <c r="Q49" s="6" t="s">
        <v>206</v>
      </c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4">
        <v>49.0</v>
      </c>
      <c r="B50" s="44">
        <v>1.0</v>
      </c>
      <c r="C50" s="44" t="s">
        <v>217</v>
      </c>
      <c r="D50" s="44"/>
      <c r="E50" s="44"/>
      <c r="F50" s="44"/>
      <c r="G50" s="44"/>
      <c r="H50" s="50" t="s">
        <v>218</v>
      </c>
      <c r="I50" s="44" t="s">
        <v>99</v>
      </c>
      <c r="J50" s="46" t="s">
        <v>100</v>
      </c>
      <c r="K50" s="44" t="s">
        <v>219</v>
      </c>
      <c r="L50" s="8" t="s">
        <v>100</v>
      </c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5.75" customHeight="1">
      <c r="A51" s="4">
        <v>50.0</v>
      </c>
      <c r="B51" s="6">
        <v>2.0</v>
      </c>
      <c r="C51" s="6" t="s">
        <v>220</v>
      </c>
      <c r="D51" s="6"/>
      <c r="E51" s="6"/>
      <c r="F51" s="6"/>
      <c r="G51" s="6"/>
      <c r="H51" s="20" t="s">
        <v>60</v>
      </c>
      <c r="I51" s="6" t="s">
        <v>99</v>
      </c>
      <c r="J51" s="8" t="s">
        <v>100</v>
      </c>
      <c r="K51" s="6" t="s">
        <v>221</v>
      </c>
      <c r="L51" s="8" t="s">
        <v>100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4">
        <v>51.0</v>
      </c>
      <c r="B52" s="6">
        <v>3.0</v>
      </c>
      <c r="C52" s="6" t="s">
        <v>222</v>
      </c>
      <c r="D52" s="6"/>
      <c r="E52" s="6"/>
      <c r="F52" s="6"/>
      <c r="G52" s="6"/>
      <c r="H52" s="20" t="s">
        <v>60</v>
      </c>
      <c r="I52" s="6" t="s">
        <v>99</v>
      </c>
      <c r="J52" s="8" t="s">
        <v>100</v>
      </c>
      <c r="K52" s="6" t="s">
        <v>221</v>
      </c>
      <c r="L52" s="8" t="s">
        <v>100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4">
        <v>52.0</v>
      </c>
      <c r="B53" s="6">
        <v>4.0</v>
      </c>
      <c r="C53" s="6" t="s">
        <v>223</v>
      </c>
      <c r="D53" s="6"/>
      <c r="E53" s="6"/>
      <c r="F53" s="6"/>
      <c r="G53" s="6"/>
      <c r="H53" s="20" t="s">
        <v>60</v>
      </c>
      <c r="I53" s="6" t="s">
        <v>99</v>
      </c>
      <c r="J53" s="8" t="s">
        <v>100</v>
      </c>
      <c r="K53" s="6" t="s">
        <v>221</v>
      </c>
      <c r="L53" s="8" t="s">
        <v>100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4">
        <v>53.0</v>
      </c>
      <c r="B54" s="6">
        <v>5.0</v>
      </c>
      <c r="C54" s="6" t="s">
        <v>224</v>
      </c>
      <c r="D54" s="6"/>
      <c r="E54" s="6"/>
      <c r="F54" s="6"/>
      <c r="G54" s="6"/>
      <c r="H54" s="20" t="s">
        <v>60</v>
      </c>
      <c r="I54" s="6" t="s">
        <v>99</v>
      </c>
      <c r="J54" s="8" t="s">
        <v>100</v>
      </c>
      <c r="K54" s="6" t="s">
        <v>221</v>
      </c>
      <c r="L54" s="8" t="s">
        <v>100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4">
        <v>54.0</v>
      </c>
      <c r="B55" s="6">
        <v>6.0</v>
      </c>
      <c r="C55" s="6" t="s">
        <v>225</v>
      </c>
      <c r="D55" s="6"/>
      <c r="E55" s="6"/>
      <c r="F55" s="6"/>
      <c r="G55" s="6"/>
      <c r="H55" s="20" t="s">
        <v>60</v>
      </c>
      <c r="I55" s="6" t="s">
        <v>99</v>
      </c>
      <c r="J55" s="8" t="s">
        <v>100</v>
      </c>
      <c r="K55" s="6" t="s">
        <v>221</v>
      </c>
      <c r="L55" s="8" t="s">
        <v>100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4">
        <v>55.0</v>
      </c>
      <c r="B56" s="6">
        <v>7.0</v>
      </c>
      <c r="C56" s="6" t="s">
        <v>226</v>
      </c>
      <c r="D56" s="6"/>
      <c r="E56" s="6"/>
      <c r="F56" s="6"/>
      <c r="G56" s="6"/>
      <c r="H56" s="20" t="s">
        <v>97</v>
      </c>
      <c r="I56" s="6" t="s">
        <v>99</v>
      </c>
      <c r="J56" s="8" t="s">
        <v>100</v>
      </c>
      <c r="K56" s="6" t="s">
        <v>101</v>
      </c>
      <c r="L56" s="8" t="s">
        <v>100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4">
        <v>56.0</v>
      </c>
      <c r="B57" s="6">
        <v>8.0</v>
      </c>
      <c r="C57" s="6" t="s">
        <v>227</v>
      </c>
      <c r="D57" s="6"/>
      <c r="E57" s="6"/>
      <c r="F57" s="6"/>
      <c r="G57" s="6"/>
      <c r="H57" s="20" t="s">
        <v>97</v>
      </c>
      <c r="I57" s="6" t="s">
        <v>99</v>
      </c>
      <c r="J57" s="8" t="s">
        <v>100</v>
      </c>
      <c r="K57" s="6" t="s">
        <v>101</v>
      </c>
      <c r="L57" s="8" t="s">
        <v>100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4">
        <v>57.0</v>
      </c>
      <c r="B58" s="6">
        <v>9.0</v>
      </c>
      <c r="C58" s="6" t="s">
        <v>228</v>
      </c>
      <c r="D58" s="6"/>
      <c r="E58" s="6"/>
      <c r="F58" s="6"/>
      <c r="G58" s="6"/>
      <c r="H58" s="20" t="s">
        <v>97</v>
      </c>
      <c r="I58" s="6" t="s">
        <v>99</v>
      </c>
      <c r="J58" s="8" t="s">
        <v>100</v>
      </c>
      <c r="K58" s="6" t="s">
        <v>101</v>
      </c>
      <c r="L58" s="8" t="s">
        <v>100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4">
        <v>58.0</v>
      </c>
      <c r="B59" s="6">
        <v>10.0</v>
      </c>
      <c r="C59" s="6" t="s">
        <v>94</v>
      </c>
      <c r="D59" s="6"/>
      <c r="E59" s="6"/>
      <c r="F59" s="6"/>
      <c r="G59" s="6"/>
      <c r="H59" s="20" t="s">
        <v>97</v>
      </c>
      <c r="I59" s="6" t="s">
        <v>99</v>
      </c>
      <c r="J59" s="8" t="s">
        <v>100</v>
      </c>
      <c r="K59" s="6" t="s">
        <v>101</v>
      </c>
      <c r="L59" s="8" t="s">
        <v>100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4">
        <v>59.0</v>
      </c>
      <c r="B60" s="6">
        <v>11.0</v>
      </c>
      <c r="C60" s="6" t="s">
        <v>105</v>
      </c>
      <c r="D60" s="6"/>
      <c r="E60" s="6"/>
      <c r="F60" s="6"/>
      <c r="G60" s="6"/>
      <c r="H60" s="20" t="s">
        <v>111</v>
      </c>
      <c r="I60" s="6" t="s">
        <v>99</v>
      </c>
      <c r="J60" s="8" t="s">
        <v>100</v>
      </c>
      <c r="K60" s="6" t="s">
        <v>113</v>
      </c>
      <c r="L60" s="8" t="s">
        <v>100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4">
        <v>60.0</v>
      </c>
      <c r="B61" s="6">
        <v>12.0</v>
      </c>
      <c r="C61" s="6" t="s">
        <v>117</v>
      </c>
      <c r="D61" s="6"/>
      <c r="E61" s="6"/>
      <c r="F61" s="6"/>
      <c r="G61" s="6"/>
      <c r="H61" s="20" t="s">
        <v>111</v>
      </c>
      <c r="I61" s="6" t="s">
        <v>99</v>
      </c>
      <c r="J61" s="8" t="s">
        <v>100</v>
      </c>
      <c r="K61" s="6" t="s">
        <v>113</v>
      </c>
      <c r="L61" s="8" t="s">
        <v>100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4">
        <v>61.0</v>
      </c>
      <c r="B62" s="6">
        <v>13.0</v>
      </c>
      <c r="C62" s="6" t="s">
        <v>127</v>
      </c>
      <c r="D62" s="6"/>
      <c r="E62" s="6"/>
      <c r="F62" s="6"/>
      <c r="G62" s="6"/>
      <c r="H62" s="20" t="s">
        <v>111</v>
      </c>
      <c r="I62" s="6" t="s">
        <v>99</v>
      </c>
      <c r="J62" s="8" t="s">
        <v>100</v>
      </c>
      <c r="K62" s="6" t="s">
        <v>113</v>
      </c>
      <c r="L62" s="8" t="s">
        <v>100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4">
        <v>62.0</v>
      </c>
      <c r="B63" s="6">
        <v>14.0</v>
      </c>
      <c r="C63" s="6" t="s">
        <v>229</v>
      </c>
      <c r="D63" s="6"/>
      <c r="E63" s="6"/>
      <c r="F63" s="6"/>
      <c r="G63" s="6"/>
      <c r="H63" s="20" t="s">
        <v>111</v>
      </c>
      <c r="I63" s="6" t="s">
        <v>99</v>
      </c>
      <c r="J63" s="8" t="s">
        <v>100</v>
      </c>
      <c r="K63" s="6" t="s">
        <v>113</v>
      </c>
      <c r="L63" s="8" t="s">
        <v>100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4">
        <v>63.0</v>
      </c>
      <c r="B64" s="6">
        <v>15.0</v>
      </c>
      <c r="C64" s="6" t="s">
        <v>230</v>
      </c>
      <c r="D64" s="6"/>
      <c r="E64" s="6"/>
      <c r="F64" s="6"/>
      <c r="G64" s="6"/>
      <c r="H64" s="20" t="s">
        <v>111</v>
      </c>
      <c r="I64" s="6" t="s">
        <v>99</v>
      </c>
      <c r="J64" s="8" t="s">
        <v>100</v>
      </c>
      <c r="K64" s="6" t="s">
        <v>113</v>
      </c>
      <c r="L64" s="8" t="s">
        <v>100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4">
        <v>64.0</v>
      </c>
      <c r="B65" s="6">
        <v>16.0</v>
      </c>
      <c r="C65" s="6" t="s">
        <v>231</v>
      </c>
      <c r="D65" s="6"/>
      <c r="E65" s="6"/>
      <c r="F65" s="6"/>
      <c r="G65" s="6"/>
      <c r="H65" s="20" t="s">
        <v>232</v>
      </c>
      <c r="I65" s="6" t="s">
        <v>99</v>
      </c>
      <c r="J65" s="8" t="s">
        <v>100</v>
      </c>
      <c r="K65" s="6" t="s">
        <v>84</v>
      </c>
      <c r="L65" s="8" t="s">
        <v>100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4">
        <v>65.0</v>
      </c>
      <c r="B66" s="6">
        <v>17.0</v>
      </c>
      <c r="C66" s="6" t="s">
        <v>233</v>
      </c>
      <c r="D66" s="6"/>
      <c r="E66" s="6"/>
      <c r="F66" s="6"/>
      <c r="G66" s="6"/>
      <c r="H66" s="20" t="s">
        <v>232</v>
      </c>
      <c r="I66" s="6" t="s">
        <v>99</v>
      </c>
      <c r="J66" s="8" t="s">
        <v>100</v>
      </c>
      <c r="K66" s="6" t="s">
        <v>84</v>
      </c>
      <c r="L66" s="8" t="s">
        <v>100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4">
        <v>66.0</v>
      </c>
      <c r="B67" s="6">
        <v>18.0</v>
      </c>
      <c r="C67" s="6" t="s">
        <v>234</v>
      </c>
      <c r="D67" s="6"/>
      <c r="E67" s="6"/>
      <c r="F67" s="6"/>
      <c r="G67" s="6"/>
      <c r="H67" s="20" t="s">
        <v>232</v>
      </c>
      <c r="I67" s="6" t="s">
        <v>99</v>
      </c>
      <c r="J67" s="8" t="s">
        <v>100</v>
      </c>
      <c r="K67" s="6" t="s">
        <v>84</v>
      </c>
      <c r="L67" s="8" t="s">
        <v>100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4">
        <v>67.0</v>
      </c>
      <c r="B68" s="6">
        <v>19.0</v>
      </c>
      <c r="C68" s="6" t="s">
        <v>82</v>
      </c>
      <c r="D68" s="6"/>
      <c r="E68" s="6"/>
      <c r="F68" s="6"/>
      <c r="G68" s="6"/>
      <c r="H68" s="20" t="s">
        <v>232</v>
      </c>
      <c r="I68" s="6" t="s">
        <v>99</v>
      </c>
      <c r="J68" s="8" t="s">
        <v>100</v>
      </c>
      <c r="K68" s="6" t="s">
        <v>84</v>
      </c>
      <c r="L68" s="8" t="s">
        <v>100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4">
        <v>68.0</v>
      </c>
      <c r="B69" s="6">
        <v>20.0</v>
      </c>
      <c r="C69" s="6" t="s">
        <v>88</v>
      </c>
      <c r="D69" s="6"/>
      <c r="E69" s="6"/>
      <c r="F69" s="6"/>
      <c r="G69" s="6"/>
      <c r="H69" s="20" t="s">
        <v>232</v>
      </c>
      <c r="I69" s="6" t="s">
        <v>99</v>
      </c>
      <c r="J69" s="8" t="s">
        <v>100</v>
      </c>
      <c r="K69" s="6" t="s">
        <v>84</v>
      </c>
      <c r="L69" s="8" t="s">
        <v>100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4">
        <v>69.0</v>
      </c>
      <c r="B70" s="6">
        <v>21.0</v>
      </c>
      <c r="C70" s="6" t="s">
        <v>235</v>
      </c>
      <c r="D70" s="6"/>
      <c r="E70" s="6"/>
      <c r="F70" s="6"/>
      <c r="G70" s="6"/>
      <c r="H70" s="20" t="s">
        <v>232</v>
      </c>
      <c r="I70" s="6" t="s">
        <v>99</v>
      </c>
      <c r="J70" s="8" t="s">
        <v>100</v>
      </c>
      <c r="K70" s="6" t="s">
        <v>84</v>
      </c>
      <c r="L70" s="8" t="s">
        <v>100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4">
        <v>70.0</v>
      </c>
      <c r="B71" s="6">
        <v>22.0</v>
      </c>
      <c r="C71" s="6" t="s">
        <v>236</v>
      </c>
      <c r="D71" s="6"/>
      <c r="E71" s="6"/>
      <c r="F71" s="6"/>
      <c r="G71" s="6"/>
      <c r="H71" s="20" t="s">
        <v>232</v>
      </c>
      <c r="I71" s="6" t="s">
        <v>99</v>
      </c>
      <c r="J71" s="8" t="s">
        <v>100</v>
      </c>
      <c r="K71" s="6" t="s">
        <v>84</v>
      </c>
      <c r="L71" s="8" t="s">
        <v>100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4">
        <v>71.0</v>
      </c>
      <c r="B72" s="6">
        <v>23.0</v>
      </c>
      <c r="C72" s="6" t="s">
        <v>134</v>
      </c>
      <c r="D72" s="6"/>
      <c r="E72" s="6"/>
      <c r="F72" s="6"/>
      <c r="G72" s="6"/>
      <c r="H72" s="20" t="s">
        <v>136</v>
      </c>
      <c r="I72" s="6" t="s">
        <v>99</v>
      </c>
      <c r="J72" s="8" t="s">
        <v>100</v>
      </c>
      <c r="K72" s="6" t="s">
        <v>137</v>
      </c>
      <c r="L72" s="8" t="s">
        <v>100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4">
        <v>72.0</v>
      </c>
      <c r="B73" s="6">
        <v>24.0</v>
      </c>
      <c r="C73" s="6" t="s">
        <v>139</v>
      </c>
      <c r="D73" s="6"/>
      <c r="E73" s="6"/>
      <c r="F73" s="6"/>
      <c r="G73" s="6"/>
      <c r="H73" s="20" t="s">
        <v>136</v>
      </c>
      <c r="I73" s="6" t="s">
        <v>99</v>
      </c>
      <c r="J73" s="8" t="s">
        <v>100</v>
      </c>
      <c r="K73" s="6" t="s">
        <v>137</v>
      </c>
      <c r="L73" s="8" t="s">
        <v>100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4">
        <v>73.0</v>
      </c>
      <c r="B74" s="6">
        <v>25.0</v>
      </c>
      <c r="C74" s="6" t="s">
        <v>237</v>
      </c>
      <c r="D74" s="6"/>
      <c r="E74" s="6"/>
      <c r="F74" s="6"/>
      <c r="G74" s="6"/>
      <c r="H74" s="20" t="s">
        <v>136</v>
      </c>
      <c r="I74" s="6" t="s">
        <v>99</v>
      </c>
      <c r="J74" s="8" t="s">
        <v>100</v>
      </c>
      <c r="K74" s="6" t="s">
        <v>137</v>
      </c>
      <c r="L74" s="8" t="s">
        <v>100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4">
        <v>74.0</v>
      </c>
      <c r="B75" s="6">
        <v>26.0</v>
      </c>
      <c r="C75" s="6" t="s">
        <v>238</v>
      </c>
      <c r="D75" s="6"/>
      <c r="E75" s="6"/>
      <c r="F75" s="6"/>
      <c r="G75" s="6"/>
      <c r="H75" s="20" t="s">
        <v>136</v>
      </c>
      <c r="I75" s="6" t="s">
        <v>99</v>
      </c>
      <c r="J75" s="8" t="s">
        <v>100</v>
      </c>
      <c r="K75" s="6" t="s">
        <v>137</v>
      </c>
      <c r="L75" s="8" t="s">
        <v>100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4">
        <v>75.0</v>
      </c>
      <c r="B76" s="6">
        <v>27.0</v>
      </c>
      <c r="C76" s="6" t="s">
        <v>239</v>
      </c>
      <c r="D76" s="6"/>
      <c r="E76" s="6"/>
      <c r="F76" s="6"/>
      <c r="G76" s="6"/>
      <c r="H76" s="20" t="s">
        <v>136</v>
      </c>
      <c r="I76" s="6" t="s">
        <v>99</v>
      </c>
      <c r="J76" s="8" t="s">
        <v>100</v>
      </c>
      <c r="K76" s="6" t="s">
        <v>137</v>
      </c>
      <c r="L76" s="8" t="s">
        <v>100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4">
        <v>76.0</v>
      </c>
      <c r="B77" s="44">
        <v>17.0</v>
      </c>
      <c r="C77" s="44" t="s">
        <v>240</v>
      </c>
      <c r="D77" s="44"/>
      <c r="E77" s="44"/>
      <c r="F77" s="44"/>
      <c r="G77" s="44"/>
      <c r="H77" s="51" t="s">
        <v>136</v>
      </c>
      <c r="I77" s="44" t="s">
        <v>148</v>
      </c>
      <c r="J77" s="46" t="s">
        <v>149</v>
      </c>
      <c r="K77" s="44"/>
      <c r="L77" s="11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4">
        <v>77.0</v>
      </c>
      <c r="B78" s="6">
        <v>18.0</v>
      </c>
      <c r="C78" s="6" t="s">
        <v>241</v>
      </c>
      <c r="D78" s="6"/>
      <c r="E78" s="6"/>
      <c r="F78" s="6"/>
      <c r="G78" s="6"/>
      <c r="H78" s="6" t="s">
        <v>136</v>
      </c>
      <c r="I78" s="6" t="s">
        <v>148</v>
      </c>
      <c r="J78" s="8" t="s">
        <v>149</v>
      </c>
      <c r="K78" s="6"/>
      <c r="L78" s="1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4">
        <v>78.0</v>
      </c>
      <c r="B79" s="6">
        <v>19.0</v>
      </c>
      <c r="C79" s="6" t="s">
        <v>242</v>
      </c>
      <c r="D79" s="6"/>
      <c r="E79" s="6"/>
      <c r="F79" s="6"/>
      <c r="G79" s="6"/>
      <c r="H79" s="6" t="s">
        <v>136</v>
      </c>
      <c r="I79" s="6" t="s">
        <v>148</v>
      </c>
      <c r="J79" s="8" t="s">
        <v>149</v>
      </c>
      <c r="K79" s="6"/>
      <c r="L79" s="1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4">
        <v>79.0</v>
      </c>
      <c r="B80" s="6">
        <v>20.0</v>
      </c>
      <c r="C80" s="6" t="s">
        <v>243</v>
      </c>
      <c r="D80" s="6"/>
      <c r="E80" s="6"/>
      <c r="F80" s="6"/>
      <c r="G80" s="6"/>
      <c r="H80" s="6" t="s">
        <v>136</v>
      </c>
      <c r="I80" s="6" t="s">
        <v>148</v>
      </c>
      <c r="J80" s="8" t="s">
        <v>149</v>
      </c>
      <c r="K80" s="6"/>
      <c r="L80" s="1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4">
        <v>80.0</v>
      </c>
      <c r="B81" s="6">
        <v>21.0</v>
      </c>
      <c r="C81" s="6" t="s">
        <v>146</v>
      </c>
      <c r="D81" s="6"/>
      <c r="E81" s="6"/>
      <c r="F81" s="6"/>
      <c r="G81" s="6"/>
      <c r="H81" s="6" t="s">
        <v>136</v>
      </c>
      <c r="I81" s="6" t="s">
        <v>148</v>
      </c>
      <c r="J81" s="8" t="s">
        <v>149</v>
      </c>
      <c r="K81" s="6"/>
      <c r="L81" s="1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4">
        <v>81.0</v>
      </c>
      <c r="B82" s="6">
        <v>22.0</v>
      </c>
      <c r="C82" s="6" t="s">
        <v>154</v>
      </c>
      <c r="D82" s="6"/>
      <c r="E82" s="6"/>
      <c r="F82" s="6"/>
      <c r="G82" s="6"/>
      <c r="H82" s="6" t="s">
        <v>155</v>
      </c>
      <c r="I82" s="6" t="s">
        <v>148</v>
      </c>
      <c r="J82" s="8" t="s">
        <v>149</v>
      </c>
      <c r="K82" s="6"/>
      <c r="L82" s="1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4">
        <v>82.0</v>
      </c>
      <c r="B83" s="6">
        <v>23.0</v>
      </c>
      <c r="C83" s="6" t="s">
        <v>159</v>
      </c>
      <c r="D83" s="6"/>
      <c r="E83" s="6"/>
      <c r="F83" s="6"/>
      <c r="G83" s="6"/>
      <c r="H83" s="6" t="s">
        <v>161</v>
      </c>
      <c r="I83" s="6" t="s">
        <v>148</v>
      </c>
      <c r="J83" s="8" t="s">
        <v>149</v>
      </c>
      <c r="K83" s="6"/>
      <c r="L83" s="1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4">
        <v>83.0</v>
      </c>
      <c r="B84" s="6">
        <v>24.0</v>
      </c>
      <c r="C84" s="6" t="s">
        <v>164</v>
      </c>
      <c r="D84" s="6"/>
      <c r="E84" s="6"/>
      <c r="F84" s="6"/>
      <c r="G84" s="6"/>
      <c r="H84" s="6" t="s">
        <v>161</v>
      </c>
      <c r="I84" s="6" t="s">
        <v>148</v>
      </c>
      <c r="J84" s="8" t="s">
        <v>149</v>
      </c>
      <c r="K84" s="6"/>
      <c r="L84" s="1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4">
        <v>84.0</v>
      </c>
      <c r="B85" s="6">
        <v>25.0</v>
      </c>
      <c r="C85" s="6" t="s">
        <v>166</v>
      </c>
      <c r="D85" s="6"/>
      <c r="E85" s="6"/>
      <c r="F85" s="6"/>
      <c r="G85" s="6"/>
      <c r="H85" s="6" t="s">
        <v>161</v>
      </c>
      <c r="I85" s="6" t="s">
        <v>148</v>
      </c>
      <c r="J85" s="8" t="s">
        <v>149</v>
      </c>
      <c r="K85" s="6"/>
      <c r="L85" s="1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4">
        <v>85.0</v>
      </c>
      <c r="B86" s="6">
        <v>26.0</v>
      </c>
      <c r="C86" s="6" t="s">
        <v>244</v>
      </c>
      <c r="D86" s="6"/>
      <c r="E86" s="6"/>
      <c r="F86" s="6"/>
      <c r="G86" s="6"/>
      <c r="H86" s="6" t="s">
        <v>111</v>
      </c>
      <c r="I86" s="6" t="s">
        <v>148</v>
      </c>
      <c r="J86" s="8" t="s">
        <v>149</v>
      </c>
      <c r="K86" s="6"/>
      <c r="L86" s="1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4">
        <v>86.0</v>
      </c>
      <c r="B87" s="6">
        <v>27.0</v>
      </c>
      <c r="C87" s="6" t="s">
        <v>245</v>
      </c>
      <c r="D87" s="6"/>
      <c r="E87" s="6"/>
      <c r="F87" s="6"/>
      <c r="G87" s="6"/>
      <c r="H87" s="6" t="s">
        <v>111</v>
      </c>
      <c r="I87" s="6" t="s">
        <v>148</v>
      </c>
      <c r="J87" s="8" t="s">
        <v>149</v>
      </c>
      <c r="K87" s="6"/>
      <c r="L87" s="1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>
        <v>87.0</v>
      </c>
      <c r="B88" s="6">
        <v>28.0</v>
      </c>
      <c r="C88" s="6" t="s">
        <v>246</v>
      </c>
      <c r="D88" s="6"/>
      <c r="E88" s="6"/>
      <c r="F88" s="6"/>
      <c r="G88" s="6"/>
      <c r="H88" s="6" t="s">
        <v>111</v>
      </c>
      <c r="I88" s="6" t="s">
        <v>148</v>
      </c>
      <c r="J88" s="8" t="s">
        <v>149</v>
      </c>
      <c r="K88" s="6"/>
      <c r="L88" s="1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4">
        <v>88.0</v>
      </c>
      <c r="B89" s="6">
        <v>29.0</v>
      </c>
      <c r="C89" s="6" t="s">
        <v>247</v>
      </c>
      <c r="D89" s="6"/>
      <c r="E89" s="6"/>
      <c r="F89" s="6"/>
      <c r="G89" s="6"/>
      <c r="H89" s="6" t="s">
        <v>111</v>
      </c>
      <c r="I89" s="6" t="s">
        <v>148</v>
      </c>
      <c r="J89" s="8" t="s">
        <v>149</v>
      </c>
      <c r="K89" s="6"/>
      <c r="L89" s="1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4">
        <v>89.0</v>
      </c>
      <c r="B90" s="6">
        <v>30.0</v>
      </c>
      <c r="C90" s="6" t="s">
        <v>248</v>
      </c>
      <c r="D90" s="6"/>
      <c r="E90" s="6"/>
      <c r="F90" s="6"/>
      <c r="G90" s="6"/>
      <c r="H90" s="6" t="s">
        <v>249</v>
      </c>
      <c r="I90" s="6" t="s">
        <v>148</v>
      </c>
      <c r="J90" s="8" t="s">
        <v>149</v>
      </c>
      <c r="K90" s="6"/>
      <c r="L90" s="1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4">
        <v>90.0</v>
      </c>
      <c r="B91" s="6">
        <v>31.0</v>
      </c>
      <c r="C91" s="6" t="s">
        <v>250</v>
      </c>
      <c r="D91" s="6"/>
      <c r="E91" s="6"/>
      <c r="F91" s="6"/>
      <c r="G91" s="6"/>
      <c r="H91" s="6" t="s">
        <v>251</v>
      </c>
      <c r="I91" s="6" t="s">
        <v>148</v>
      </c>
      <c r="J91" s="8" t="s">
        <v>149</v>
      </c>
      <c r="K91" s="6"/>
      <c r="L91" s="1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4">
        <v>91.0</v>
      </c>
      <c r="B92" s="6">
        <v>32.0</v>
      </c>
      <c r="C92" s="6" t="s">
        <v>252</v>
      </c>
      <c r="D92" s="6"/>
      <c r="E92" s="6"/>
      <c r="F92" s="6"/>
      <c r="G92" s="6"/>
      <c r="H92" s="6" t="s">
        <v>251</v>
      </c>
      <c r="I92" s="6" t="s">
        <v>148</v>
      </c>
      <c r="J92" s="8" t="s">
        <v>149</v>
      </c>
      <c r="K92" s="6"/>
      <c r="L92" s="1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4">
        <v>92.0</v>
      </c>
      <c r="B93" s="6">
        <v>33.0</v>
      </c>
      <c r="C93" s="6" t="s">
        <v>253</v>
      </c>
      <c r="D93" s="6"/>
      <c r="E93" s="6"/>
      <c r="F93" s="6"/>
      <c r="G93" s="6"/>
      <c r="H93" s="6" t="s">
        <v>251</v>
      </c>
      <c r="I93" s="6" t="s">
        <v>148</v>
      </c>
      <c r="J93" s="8" t="s">
        <v>149</v>
      </c>
      <c r="K93" s="6"/>
      <c r="L93" s="1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4">
        <v>93.0</v>
      </c>
      <c r="B94" s="6">
        <v>34.0</v>
      </c>
      <c r="C94" s="6" t="s">
        <v>254</v>
      </c>
      <c r="D94" s="6"/>
      <c r="E94" s="6"/>
      <c r="F94" s="6"/>
      <c r="G94" s="6"/>
      <c r="H94" s="6" t="s">
        <v>251</v>
      </c>
      <c r="I94" s="6" t="s">
        <v>148</v>
      </c>
      <c r="J94" s="8" t="s">
        <v>149</v>
      </c>
      <c r="K94" s="6"/>
      <c r="L94" s="1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4">
        <v>94.0</v>
      </c>
      <c r="B95" s="6">
        <v>35.0</v>
      </c>
      <c r="C95" s="6" t="s">
        <v>255</v>
      </c>
      <c r="D95" s="6"/>
      <c r="E95" s="6"/>
      <c r="F95" s="6"/>
      <c r="G95" s="6"/>
      <c r="H95" s="52" t="s">
        <v>256</v>
      </c>
      <c r="I95" s="6" t="s">
        <v>148</v>
      </c>
      <c r="J95" s="8" t="s">
        <v>149</v>
      </c>
      <c r="K95" s="6"/>
      <c r="L95" s="1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4">
        <v>95.0</v>
      </c>
      <c r="B96" s="6">
        <v>36.0</v>
      </c>
      <c r="C96" s="6" t="s">
        <v>257</v>
      </c>
      <c r="D96" s="6"/>
      <c r="E96" s="6"/>
      <c r="F96" s="6"/>
      <c r="G96" s="6"/>
      <c r="H96" s="52" t="s">
        <v>256</v>
      </c>
      <c r="I96" s="6" t="s">
        <v>148</v>
      </c>
      <c r="J96" s="8" t="s">
        <v>149</v>
      </c>
      <c r="K96" s="6"/>
      <c r="L96" s="1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7" t="s">
        <v>258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4.13"/>
    <col customWidth="1" min="2" max="2" width="10.13"/>
    <col customWidth="1" min="3" max="3" width="20.88"/>
    <col customWidth="1" min="4" max="5" width="13.38"/>
    <col customWidth="1" min="6" max="6" width="29.13"/>
    <col customWidth="1" min="7" max="7" width="11.0"/>
    <col customWidth="1" min="8" max="8" width="18.88"/>
    <col customWidth="1" min="9" max="9" width="22.13"/>
    <col customWidth="1" min="10" max="10" width="16.0"/>
    <col customWidth="1" min="11" max="11" width="37.88"/>
    <col customWidth="1" min="12" max="12" width="11.75"/>
    <col customWidth="1" min="13" max="13" width="20.13"/>
    <col customWidth="1" min="14" max="14" width="14.88"/>
    <col customWidth="1" min="15" max="16" width="16.0"/>
    <col customWidth="1" min="17" max="17" width="42.75"/>
    <col customWidth="1" min="18" max="26" width="8.75"/>
  </cols>
  <sheetData>
    <row r="1" ht="53.25" customHeight="1">
      <c r="A1" s="1" t="s">
        <v>0</v>
      </c>
      <c r="B1" s="2" t="s">
        <v>1</v>
      </c>
      <c r="C1" s="1" t="s">
        <v>2</v>
      </c>
      <c r="D1" s="2" t="s">
        <v>4</v>
      </c>
      <c r="E1" s="2" t="s">
        <v>5</v>
      </c>
      <c r="F1" s="1" t="s">
        <v>7</v>
      </c>
      <c r="G1" s="1" t="s">
        <v>9</v>
      </c>
      <c r="H1" s="1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1" t="s">
        <v>16</v>
      </c>
      <c r="O1" s="1" t="s">
        <v>18</v>
      </c>
      <c r="P1" s="1" t="s">
        <v>19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/>
      <c r="C2" s="5" t="s">
        <v>22</v>
      </c>
      <c r="D2" s="5"/>
      <c r="E2" s="5"/>
      <c r="F2" s="5" t="s">
        <v>26</v>
      </c>
      <c r="G2" s="5"/>
      <c r="H2" s="5" t="s">
        <v>29</v>
      </c>
      <c r="I2" s="6" t="s">
        <v>30</v>
      </c>
      <c r="J2" s="8" t="s">
        <v>32</v>
      </c>
      <c r="K2" s="6" t="s">
        <v>34</v>
      </c>
      <c r="L2" s="11" t="str">
        <f t="shared" ref="L2:L4" si="1">J2</f>
        <v>24/02/2023</v>
      </c>
      <c r="M2" s="5" t="s">
        <v>40</v>
      </c>
      <c r="N2" s="12" t="s">
        <v>41</v>
      </c>
      <c r="O2" s="5"/>
      <c r="P2" s="6" t="s">
        <v>42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2.0</v>
      </c>
      <c r="B3" s="4"/>
      <c r="C3" s="5" t="s">
        <v>43</v>
      </c>
      <c r="D3" s="5"/>
      <c r="E3" s="5"/>
      <c r="F3" s="5" t="s">
        <v>44</v>
      </c>
      <c r="G3" s="5" t="s">
        <v>45</v>
      </c>
      <c r="H3" s="5" t="s">
        <v>29</v>
      </c>
      <c r="I3" s="6" t="s">
        <v>46</v>
      </c>
      <c r="J3" s="8" t="s">
        <v>47</v>
      </c>
      <c r="K3" s="6" t="s">
        <v>34</v>
      </c>
      <c r="L3" s="11" t="str">
        <f t="shared" si="1"/>
        <v>27/5/2022</v>
      </c>
      <c r="M3" s="5" t="s">
        <v>40</v>
      </c>
      <c r="N3" s="12" t="s">
        <v>41</v>
      </c>
      <c r="O3" s="5" t="s">
        <v>48</v>
      </c>
      <c r="P3" s="6" t="s">
        <v>42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3.0</v>
      </c>
      <c r="B4" s="4"/>
      <c r="C4" s="5" t="s">
        <v>49</v>
      </c>
      <c r="D4" s="5"/>
      <c r="E4" s="5"/>
      <c r="F4" s="5" t="s">
        <v>50</v>
      </c>
      <c r="G4" s="5"/>
      <c r="H4" s="5" t="s">
        <v>29</v>
      </c>
      <c r="I4" s="6" t="s">
        <v>46</v>
      </c>
      <c r="J4" s="8" t="s">
        <v>47</v>
      </c>
      <c r="K4" s="6" t="s">
        <v>34</v>
      </c>
      <c r="L4" s="11" t="str">
        <f t="shared" si="1"/>
        <v>27/5/2022</v>
      </c>
      <c r="M4" s="5" t="s">
        <v>40</v>
      </c>
      <c r="N4" s="12" t="s">
        <v>41</v>
      </c>
      <c r="O4" s="5" t="s">
        <v>51</v>
      </c>
      <c r="P4" s="6" t="s">
        <v>42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4.0</v>
      </c>
      <c r="B5" s="4"/>
      <c r="C5" s="6" t="s">
        <v>52</v>
      </c>
      <c r="D5" s="6"/>
      <c r="E5" s="6"/>
      <c r="F5" s="6" t="s">
        <v>53</v>
      </c>
      <c r="G5" s="6"/>
      <c r="H5" s="6" t="s">
        <v>29</v>
      </c>
      <c r="I5" s="6"/>
      <c r="J5" s="11"/>
      <c r="K5" s="6"/>
      <c r="L5" s="11"/>
      <c r="M5" s="6" t="s">
        <v>54</v>
      </c>
      <c r="N5" s="17" t="s">
        <v>55</v>
      </c>
      <c r="O5" s="6" t="s">
        <v>56</v>
      </c>
      <c r="P5" s="6" t="s">
        <v>42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5.0</v>
      </c>
      <c r="B6" s="4"/>
      <c r="C6" s="6" t="s">
        <v>57</v>
      </c>
      <c r="D6" s="6"/>
      <c r="E6" s="6"/>
      <c r="F6" s="6" t="s">
        <v>58</v>
      </c>
      <c r="G6" s="6"/>
      <c r="H6" s="6" t="s">
        <v>29</v>
      </c>
      <c r="I6" s="6" t="s">
        <v>30</v>
      </c>
      <c r="J6" s="8" t="s">
        <v>32</v>
      </c>
      <c r="K6" s="6" t="s">
        <v>34</v>
      </c>
      <c r="L6" s="11" t="str">
        <f t="shared" ref="L6:L7" si="2">J6</f>
        <v>24/02/2023</v>
      </c>
      <c r="M6" s="6" t="s">
        <v>54</v>
      </c>
      <c r="N6" s="17" t="s">
        <v>55</v>
      </c>
      <c r="O6" s="6" t="s">
        <v>61</v>
      </c>
      <c r="P6" s="6" t="s">
        <v>42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6.0</v>
      </c>
      <c r="B7" s="4"/>
      <c r="C7" s="6" t="s">
        <v>65</v>
      </c>
      <c r="D7" s="6"/>
      <c r="E7" s="6"/>
      <c r="F7" s="6" t="s">
        <v>68</v>
      </c>
      <c r="G7" s="6" t="s">
        <v>69</v>
      </c>
      <c r="H7" s="6" t="s">
        <v>29</v>
      </c>
      <c r="I7" s="6" t="s">
        <v>70</v>
      </c>
      <c r="J7" s="8" t="s">
        <v>71</v>
      </c>
      <c r="K7" s="6" t="s">
        <v>34</v>
      </c>
      <c r="L7" s="11" t="str">
        <f t="shared" si="2"/>
        <v>29/9/2022</v>
      </c>
      <c r="M7" s="6" t="s">
        <v>54</v>
      </c>
      <c r="N7" s="17" t="s">
        <v>55</v>
      </c>
      <c r="O7" s="6" t="s">
        <v>72</v>
      </c>
      <c r="P7" s="6" t="s">
        <v>42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7.0</v>
      </c>
      <c r="B8" s="9"/>
      <c r="C8" s="19" t="s">
        <v>74</v>
      </c>
      <c r="D8" s="19"/>
      <c r="E8" s="19"/>
      <c r="F8" s="13"/>
      <c r="G8" s="13"/>
      <c r="H8" s="19" t="s">
        <v>75</v>
      </c>
      <c r="I8" s="13"/>
      <c r="J8" s="15"/>
      <c r="K8" s="13" t="s">
        <v>34</v>
      </c>
      <c r="L8" s="11"/>
      <c r="M8" s="13"/>
      <c r="N8" s="13"/>
      <c r="O8" s="13"/>
      <c r="P8" s="13"/>
      <c r="Q8" s="13" t="s">
        <v>76</v>
      </c>
      <c r="R8" s="13"/>
      <c r="S8" s="13"/>
      <c r="T8" s="13"/>
      <c r="U8" s="13"/>
      <c r="V8" s="13"/>
      <c r="W8" s="13"/>
      <c r="X8" s="13"/>
      <c r="Y8" s="13"/>
      <c r="Z8" s="13"/>
    </row>
    <row r="9">
      <c r="A9" s="4">
        <v>8.0</v>
      </c>
      <c r="B9" s="9"/>
      <c r="C9" s="19" t="s">
        <v>77</v>
      </c>
      <c r="D9" s="19"/>
      <c r="E9" s="19"/>
      <c r="F9" s="13"/>
      <c r="G9" s="13"/>
      <c r="H9" s="19" t="s">
        <v>75</v>
      </c>
      <c r="I9" s="13"/>
      <c r="J9" s="15"/>
      <c r="K9" s="13" t="s">
        <v>34</v>
      </c>
      <c r="L9" s="11"/>
      <c r="M9" s="13"/>
      <c r="N9" s="13"/>
      <c r="O9" s="13"/>
      <c r="P9" s="13"/>
      <c r="Q9" s="13" t="s">
        <v>76</v>
      </c>
      <c r="R9" s="13"/>
      <c r="S9" s="13"/>
      <c r="T9" s="13"/>
      <c r="U9" s="13"/>
      <c r="V9" s="13"/>
      <c r="W9" s="13"/>
      <c r="X9" s="13"/>
      <c r="Y9" s="13"/>
      <c r="Z9" s="13"/>
    </row>
    <row r="10">
      <c r="A10" s="4">
        <v>9.0</v>
      </c>
      <c r="B10" s="9"/>
      <c r="C10" s="19" t="s">
        <v>79</v>
      </c>
      <c r="D10" s="19"/>
      <c r="E10" s="19"/>
      <c r="F10" s="13"/>
      <c r="G10" s="13"/>
      <c r="H10" s="19" t="s">
        <v>75</v>
      </c>
      <c r="I10" s="13"/>
      <c r="J10" s="15"/>
      <c r="K10" s="13" t="s">
        <v>34</v>
      </c>
      <c r="L10" s="11"/>
      <c r="M10" s="13"/>
      <c r="N10" s="13"/>
      <c r="O10" s="13"/>
      <c r="P10" s="13"/>
      <c r="Q10" s="13" t="s">
        <v>76</v>
      </c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4">
        <v>10.0</v>
      </c>
      <c r="B11" s="9"/>
      <c r="C11" s="19" t="s">
        <v>80</v>
      </c>
      <c r="D11" s="19"/>
      <c r="E11" s="19"/>
      <c r="F11" s="13"/>
      <c r="G11" s="13"/>
      <c r="H11" s="19" t="s">
        <v>81</v>
      </c>
      <c r="I11" s="13"/>
      <c r="J11" s="15"/>
      <c r="K11" s="13" t="s">
        <v>34</v>
      </c>
      <c r="L11" s="11"/>
      <c r="M11" s="13"/>
      <c r="N11" s="13"/>
      <c r="O11" s="13"/>
      <c r="P11" s="13"/>
      <c r="Q11" s="13" t="s">
        <v>76</v>
      </c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4">
        <v>11.0</v>
      </c>
      <c r="B12" s="9"/>
      <c r="C12" s="19" t="s">
        <v>85</v>
      </c>
      <c r="D12" s="19"/>
      <c r="E12" s="19"/>
      <c r="F12" s="13"/>
      <c r="G12" s="13"/>
      <c r="H12" s="19" t="s">
        <v>86</v>
      </c>
      <c r="I12" s="13" t="s">
        <v>70</v>
      </c>
      <c r="J12" s="14" t="s">
        <v>71</v>
      </c>
      <c r="K12" s="13" t="s">
        <v>87</v>
      </c>
      <c r="L12" s="11" t="str">
        <f t="shared" ref="L12:L17" si="3">J12</f>
        <v>29/9/2022</v>
      </c>
      <c r="M12" s="13"/>
      <c r="N12" s="13"/>
      <c r="O12" s="13"/>
      <c r="P12" s="13"/>
      <c r="Q12" s="13" t="s">
        <v>76</v>
      </c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4">
        <v>12.0</v>
      </c>
      <c r="B13" s="4"/>
      <c r="C13" s="6" t="s">
        <v>89</v>
      </c>
      <c r="D13" s="6"/>
      <c r="E13" s="6"/>
      <c r="F13" s="6" t="s">
        <v>90</v>
      </c>
      <c r="G13" s="6"/>
      <c r="H13" s="6" t="s">
        <v>91</v>
      </c>
      <c r="I13" s="6" t="s">
        <v>70</v>
      </c>
      <c r="J13" s="8" t="s">
        <v>71</v>
      </c>
      <c r="K13" s="6" t="s">
        <v>92</v>
      </c>
      <c r="L13" s="11" t="str">
        <f t="shared" si="3"/>
        <v>29/9/2022</v>
      </c>
      <c r="M13" s="6" t="s">
        <v>54</v>
      </c>
      <c r="N13" s="17" t="s">
        <v>55</v>
      </c>
      <c r="O13" s="6" t="s">
        <v>93</v>
      </c>
      <c r="P13" s="6" t="s">
        <v>42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>
        <v>13.0</v>
      </c>
      <c r="B14" s="4"/>
      <c r="C14" s="6" t="s">
        <v>95</v>
      </c>
      <c r="D14" s="6"/>
      <c r="E14" s="6"/>
      <c r="F14" s="6" t="s">
        <v>96</v>
      </c>
      <c r="G14" s="6" t="s">
        <v>98</v>
      </c>
      <c r="H14" s="6" t="s">
        <v>91</v>
      </c>
      <c r="I14" s="6" t="s">
        <v>70</v>
      </c>
      <c r="J14" s="8" t="s">
        <v>71</v>
      </c>
      <c r="K14" s="6" t="s">
        <v>92</v>
      </c>
      <c r="L14" s="11" t="str">
        <f t="shared" si="3"/>
        <v>29/9/2022</v>
      </c>
      <c r="M14" s="6" t="s">
        <v>54</v>
      </c>
      <c r="N14" s="17" t="s">
        <v>55</v>
      </c>
      <c r="O14" s="6" t="s">
        <v>102</v>
      </c>
      <c r="P14" s="6" t="s">
        <v>42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>
        <v>14.0</v>
      </c>
      <c r="B15" s="4"/>
      <c r="C15" s="13" t="s">
        <v>103</v>
      </c>
      <c r="D15" s="13"/>
      <c r="E15" s="13"/>
      <c r="F15" s="6" t="s">
        <v>104</v>
      </c>
      <c r="G15" s="6" t="s">
        <v>45</v>
      </c>
      <c r="H15" s="6" t="s">
        <v>91</v>
      </c>
      <c r="I15" s="6" t="s">
        <v>70</v>
      </c>
      <c r="J15" s="8" t="s">
        <v>71</v>
      </c>
      <c r="K15" s="6" t="s">
        <v>92</v>
      </c>
      <c r="L15" s="11" t="str">
        <f t="shared" si="3"/>
        <v>29/9/2022</v>
      </c>
      <c r="M15" s="6" t="s">
        <v>54</v>
      </c>
      <c r="N15" s="17" t="s">
        <v>55</v>
      </c>
      <c r="O15" s="6" t="s">
        <v>108</v>
      </c>
      <c r="P15" s="6" t="s">
        <v>42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>
        <v>15.0</v>
      </c>
      <c r="B16" s="4"/>
      <c r="C16" s="6" t="s">
        <v>112</v>
      </c>
      <c r="D16" s="6"/>
      <c r="E16" s="6"/>
      <c r="F16" s="6" t="s">
        <v>114</v>
      </c>
      <c r="G16" s="6" t="s">
        <v>115</v>
      </c>
      <c r="H16" s="6" t="s">
        <v>91</v>
      </c>
      <c r="I16" s="6" t="s">
        <v>70</v>
      </c>
      <c r="J16" s="8" t="s">
        <v>71</v>
      </c>
      <c r="K16" s="6" t="s">
        <v>92</v>
      </c>
      <c r="L16" s="11" t="str">
        <f t="shared" si="3"/>
        <v>29/9/2022</v>
      </c>
      <c r="M16" s="6" t="s">
        <v>54</v>
      </c>
      <c r="N16" s="17" t="s">
        <v>55</v>
      </c>
      <c r="O16" s="6" t="s">
        <v>116</v>
      </c>
      <c r="P16" s="6" t="s">
        <v>42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>
        <v>16.0</v>
      </c>
      <c r="B17" s="4"/>
      <c r="C17" s="6" t="s">
        <v>120</v>
      </c>
      <c r="D17" s="6"/>
      <c r="E17" s="6"/>
      <c r="F17" s="6" t="s">
        <v>121</v>
      </c>
      <c r="G17" s="6" t="s">
        <v>122</v>
      </c>
      <c r="H17" s="6" t="s">
        <v>91</v>
      </c>
      <c r="I17" s="6" t="s">
        <v>70</v>
      </c>
      <c r="J17" s="8" t="s">
        <v>71</v>
      </c>
      <c r="K17" s="6" t="s">
        <v>92</v>
      </c>
      <c r="L17" s="11" t="str">
        <f t="shared" si="3"/>
        <v>29/9/2022</v>
      </c>
      <c r="M17" s="6" t="s">
        <v>54</v>
      </c>
      <c r="N17" s="17" t="s">
        <v>55</v>
      </c>
      <c r="O17" s="6" t="s">
        <v>124</v>
      </c>
      <c r="P17" s="6" t="s">
        <v>42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>
        <v>17.0</v>
      </c>
      <c r="B18" s="4"/>
      <c r="C18" s="6" t="s">
        <v>125</v>
      </c>
      <c r="D18" s="6"/>
      <c r="E18" s="6"/>
      <c r="F18" s="6"/>
      <c r="G18" s="6" t="s">
        <v>115</v>
      </c>
      <c r="H18" s="6" t="s">
        <v>86</v>
      </c>
      <c r="I18" s="6"/>
      <c r="J18" s="11"/>
      <c r="K18" s="6"/>
      <c r="L18" s="11"/>
      <c r="M18" s="5" t="s">
        <v>40</v>
      </c>
      <c r="N18" s="12" t="s">
        <v>41</v>
      </c>
      <c r="O18" s="5" t="s">
        <v>126</v>
      </c>
      <c r="P18" s="6" t="s">
        <v>42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>
        <v>18.0</v>
      </c>
      <c r="B19" s="29"/>
      <c r="C19" s="30" t="s">
        <v>131</v>
      </c>
      <c r="D19" s="30"/>
      <c r="E19" s="30"/>
      <c r="F19" s="30" t="s">
        <v>132</v>
      </c>
      <c r="G19" s="30" t="s">
        <v>122</v>
      </c>
      <c r="H19" s="30" t="s">
        <v>133</v>
      </c>
      <c r="I19" s="30" t="s">
        <v>70</v>
      </c>
      <c r="J19" s="31" t="s">
        <v>71</v>
      </c>
      <c r="K19" s="30" t="s">
        <v>135</v>
      </c>
      <c r="L19" s="11" t="str">
        <f>J19</f>
        <v>29/9/2022</v>
      </c>
      <c r="M19" s="30" t="s">
        <v>54</v>
      </c>
      <c r="N19" s="32" t="s">
        <v>55</v>
      </c>
      <c r="O19" s="30" t="s">
        <v>138</v>
      </c>
      <c r="P19" s="30" t="s">
        <v>42</v>
      </c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4">
        <v>19.0</v>
      </c>
      <c r="B20" s="29"/>
      <c r="C20" s="30" t="s">
        <v>141</v>
      </c>
      <c r="D20" s="30"/>
      <c r="E20" s="30"/>
      <c r="F20" s="30" t="s">
        <v>142</v>
      </c>
      <c r="G20" s="30"/>
      <c r="H20" s="30" t="s">
        <v>133</v>
      </c>
      <c r="I20" s="30"/>
      <c r="J20" s="36"/>
      <c r="K20" s="30"/>
      <c r="L20" s="11"/>
      <c r="M20" s="30" t="s">
        <v>54</v>
      </c>
      <c r="N20" s="32" t="s">
        <v>55</v>
      </c>
      <c r="O20" s="30" t="s">
        <v>144</v>
      </c>
      <c r="P20" s="30" t="s">
        <v>42</v>
      </c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4">
        <v>20.0</v>
      </c>
      <c r="B21" s="29"/>
      <c r="C21" s="30" t="s">
        <v>147</v>
      </c>
      <c r="D21" s="30"/>
      <c r="E21" s="30"/>
      <c r="F21" s="30" t="s">
        <v>150</v>
      </c>
      <c r="G21" s="30" t="s">
        <v>98</v>
      </c>
      <c r="H21" s="30" t="s">
        <v>133</v>
      </c>
      <c r="I21" s="30"/>
      <c r="J21" s="36"/>
      <c r="K21" s="30"/>
      <c r="L21" s="11"/>
      <c r="M21" s="30" t="s">
        <v>54</v>
      </c>
      <c r="N21" s="32" t="s">
        <v>55</v>
      </c>
      <c r="O21" s="30" t="s">
        <v>152</v>
      </c>
      <c r="P21" s="30" t="s">
        <v>42</v>
      </c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4">
        <v>21.0</v>
      </c>
      <c r="B22" s="29"/>
      <c r="C22" s="30" t="s">
        <v>156</v>
      </c>
      <c r="D22" s="30"/>
      <c r="E22" s="30"/>
      <c r="F22" s="30" t="s">
        <v>158</v>
      </c>
      <c r="G22" s="30" t="s">
        <v>115</v>
      </c>
      <c r="H22" s="30" t="s">
        <v>133</v>
      </c>
      <c r="I22" s="30"/>
      <c r="J22" s="36"/>
      <c r="K22" s="30"/>
      <c r="L22" s="11"/>
      <c r="M22" s="30" t="s">
        <v>54</v>
      </c>
      <c r="N22" s="32" t="s">
        <v>55</v>
      </c>
      <c r="O22" s="30" t="s">
        <v>160</v>
      </c>
      <c r="P22" s="30" t="s">
        <v>42</v>
      </c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4">
        <v>22.0</v>
      </c>
      <c r="B23" s="29"/>
      <c r="C23" s="30" t="s">
        <v>162</v>
      </c>
      <c r="D23" s="30"/>
      <c r="E23" s="30"/>
      <c r="F23" s="30" t="s">
        <v>163</v>
      </c>
      <c r="G23" s="30"/>
      <c r="H23" s="30" t="s">
        <v>83</v>
      </c>
      <c r="I23" s="30" t="s">
        <v>30</v>
      </c>
      <c r="J23" s="31" t="s">
        <v>32</v>
      </c>
      <c r="K23" s="30" t="s">
        <v>84</v>
      </c>
      <c r="L23" s="11" t="str">
        <f t="shared" ref="L23:L26" si="4">J23</f>
        <v>24/02/2023</v>
      </c>
      <c r="M23" s="30" t="s">
        <v>54</v>
      </c>
      <c r="N23" s="32" t="s">
        <v>55</v>
      </c>
      <c r="O23" s="30" t="s">
        <v>165</v>
      </c>
      <c r="P23" s="30" t="s">
        <v>42</v>
      </c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4">
        <v>23.0</v>
      </c>
      <c r="B24" s="29"/>
      <c r="C24" s="30" t="s">
        <v>167</v>
      </c>
      <c r="D24" s="30"/>
      <c r="E24" s="30"/>
      <c r="F24" s="30" t="s">
        <v>168</v>
      </c>
      <c r="G24" s="30" t="s">
        <v>115</v>
      </c>
      <c r="H24" s="30" t="s">
        <v>83</v>
      </c>
      <c r="I24" s="30" t="s">
        <v>30</v>
      </c>
      <c r="J24" s="31" t="s">
        <v>32</v>
      </c>
      <c r="K24" s="30" t="s">
        <v>84</v>
      </c>
      <c r="L24" s="11" t="str">
        <f t="shared" si="4"/>
        <v>24/02/2023</v>
      </c>
      <c r="M24" s="30" t="s">
        <v>54</v>
      </c>
      <c r="N24" s="32" t="s">
        <v>55</v>
      </c>
      <c r="O24" s="30" t="s">
        <v>169</v>
      </c>
      <c r="P24" s="30" t="s">
        <v>42</v>
      </c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4">
        <v>24.0</v>
      </c>
      <c r="B25" s="29"/>
      <c r="C25" s="30" t="s">
        <v>172</v>
      </c>
      <c r="D25" s="30"/>
      <c r="E25" s="30"/>
      <c r="F25" s="30" t="s">
        <v>173</v>
      </c>
      <c r="G25" s="30"/>
      <c r="H25" s="30" t="s">
        <v>60</v>
      </c>
      <c r="I25" s="30" t="s">
        <v>70</v>
      </c>
      <c r="J25" s="31" t="s">
        <v>71</v>
      </c>
      <c r="K25" s="30" t="s">
        <v>62</v>
      </c>
      <c r="L25" s="11" t="str">
        <f t="shared" si="4"/>
        <v>29/9/2022</v>
      </c>
      <c r="M25" s="30" t="s">
        <v>54</v>
      </c>
      <c r="N25" s="32" t="s">
        <v>55</v>
      </c>
      <c r="O25" s="30" t="s">
        <v>174</v>
      </c>
      <c r="P25" s="30" t="s">
        <v>42</v>
      </c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4">
        <v>25.0</v>
      </c>
      <c r="B26" s="29"/>
      <c r="C26" s="30" t="s">
        <v>176</v>
      </c>
      <c r="D26" s="30"/>
      <c r="E26" s="30"/>
      <c r="F26" s="30" t="s">
        <v>177</v>
      </c>
      <c r="G26" s="30" t="s">
        <v>45</v>
      </c>
      <c r="H26" s="30" t="s">
        <v>60</v>
      </c>
      <c r="I26" s="30" t="s">
        <v>70</v>
      </c>
      <c r="J26" s="31" t="s">
        <v>71</v>
      </c>
      <c r="K26" s="30" t="s">
        <v>62</v>
      </c>
      <c r="L26" s="11" t="str">
        <f t="shared" si="4"/>
        <v>29/9/2022</v>
      </c>
      <c r="M26" s="30" t="s">
        <v>54</v>
      </c>
      <c r="N26" s="32" t="s">
        <v>55</v>
      </c>
      <c r="O26" s="30" t="s">
        <v>178</v>
      </c>
      <c r="P26" s="30" t="s">
        <v>42</v>
      </c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4">
        <v>26.0</v>
      </c>
      <c r="B27" s="29"/>
      <c r="C27" s="30" t="s">
        <v>179</v>
      </c>
      <c r="D27" s="30"/>
      <c r="E27" s="30"/>
      <c r="F27" s="30" t="s">
        <v>180</v>
      </c>
      <c r="G27" s="30" t="s">
        <v>115</v>
      </c>
      <c r="H27" s="30" t="s">
        <v>60</v>
      </c>
      <c r="I27" s="30" t="s">
        <v>46</v>
      </c>
      <c r="J27" s="31" t="s">
        <v>47</v>
      </c>
      <c r="K27" s="38" t="s">
        <v>181</v>
      </c>
      <c r="L27" s="14" t="s">
        <v>149</v>
      </c>
      <c r="M27" s="30" t="s">
        <v>54</v>
      </c>
      <c r="N27" s="32" t="s">
        <v>55</v>
      </c>
      <c r="O27" s="30" t="s">
        <v>182</v>
      </c>
      <c r="P27" s="30" t="s">
        <v>42</v>
      </c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4">
        <v>27.0</v>
      </c>
      <c r="B28" s="37"/>
      <c r="C28" s="38" t="s">
        <v>183</v>
      </c>
      <c r="D28" s="38"/>
      <c r="E28" s="38"/>
      <c r="F28" s="38" t="s">
        <v>184</v>
      </c>
      <c r="G28" s="38" t="s">
        <v>122</v>
      </c>
      <c r="H28" s="38" t="s">
        <v>60</v>
      </c>
      <c r="I28" s="38" t="s">
        <v>46</v>
      </c>
      <c r="J28" s="41" t="s">
        <v>47</v>
      </c>
      <c r="K28" s="38" t="s">
        <v>181</v>
      </c>
      <c r="L28" s="14" t="s">
        <v>149</v>
      </c>
      <c r="M28" s="38" t="s">
        <v>54</v>
      </c>
      <c r="N28" s="42" t="s">
        <v>55</v>
      </c>
      <c r="O28" s="38" t="s">
        <v>186</v>
      </c>
      <c r="P28" s="38" t="s">
        <v>42</v>
      </c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4">
        <v>28.0</v>
      </c>
      <c r="B29" s="37"/>
      <c r="C29" s="38" t="s">
        <v>188</v>
      </c>
      <c r="D29" s="38"/>
      <c r="E29" s="38"/>
      <c r="F29" s="38" t="s">
        <v>189</v>
      </c>
      <c r="G29" s="38" t="s">
        <v>190</v>
      </c>
      <c r="H29" s="38" t="s">
        <v>60</v>
      </c>
      <c r="I29" s="38" t="s">
        <v>46</v>
      </c>
      <c r="J29" s="41" t="s">
        <v>47</v>
      </c>
      <c r="K29" s="38" t="s">
        <v>181</v>
      </c>
      <c r="L29" s="14" t="s">
        <v>149</v>
      </c>
      <c r="M29" s="38" t="s">
        <v>54</v>
      </c>
      <c r="N29" s="42" t="s">
        <v>55</v>
      </c>
      <c r="O29" s="38" t="s">
        <v>191</v>
      </c>
      <c r="P29" s="38" t="s">
        <v>42</v>
      </c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4">
        <v>29.0</v>
      </c>
      <c r="B30" s="29"/>
      <c r="C30" s="30" t="s">
        <v>192</v>
      </c>
      <c r="D30" s="30"/>
      <c r="E30" s="30"/>
      <c r="F30" s="30" t="s">
        <v>193</v>
      </c>
      <c r="G30" s="30"/>
      <c r="H30" s="30" t="s">
        <v>97</v>
      </c>
      <c r="I30" s="30" t="s">
        <v>30</v>
      </c>
      <c r="J30" s="31" t="s">
        <v>32</v>
      </c>
      <c r="K30" s="30" t="s">
        <v>101</v>
      </c>
      <c r="L30" s="11" t="str">
        <f t="shared" ref="L30:L49" si="5">J30</f>
        <v>24/02/2023</v>
      </c>
      <c r="M30" s="30" t="s">
        <v>54</v>
      </c>
      <c r="N30" s="32" t="s">
        <v>55</v>
      </c>
      <c r="O30" s="30" t="s">
        <v>194</v>
      </c>
      <c r="P30" s="30" t="s">
        <v>42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4">
        <v>30.0</v>
      </c>
      <c r="B31" s="29"/>
      <c r="C31" s="30" t="s">
        <v>195</v>
      </c>
      <c r="D31" s="30"/>
      <c r="E31" s="30"/>
      <c r="F31" s="30" t="s">
        <v>196</v>
      </c>
      <c r="G31" s="30" t="s">
        <v>98</v>
      </c>
      <c r="H31" s="30" t="s">
        <v>97</v>
      </c>
      <c r="I31" s="30" t="s">
        <v>30</v>
      </c>
      <c r="J31" s="31" t="s">
        <v>32</v>
      </c>
      <c r="K31" s="30" t="s">
        <v>101</v>
      </c>
      <c r="L31" s="11" t="str">
        <f t="shared" si="5"/>
        <v>24/02/2023</v>
      </c>
      <c r="M31" s="30" t="s">
        <v>54</v>
      </c>
      <c r="N31" s="32" t="s">
        <v>55</v>
      </c>
      <c r="O31" s="30" t="s">
        <v>197</v>
      </c>
      <c r="P31" s="30" t="s">
        <v>42</v>
      </c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4">
        <v>31.0</v>
      </c>
      <c r="B32" s="29"/>
      <c r="C32" s="30" t="s">
        <v>198</v>
      </c>
      <c r="D32" s="30"/>
      <c r="E32" s="30"/>
      <c r="F32" s="30" t="s">
        <v>199</v>
      </c>
      <c r="G32" s="30" t="s">
        <v>190</v>
      </c>
      <c r="H32" s="30" t="s">
        <v>97</v>
      </c>
      <c r="I32" s="30" t="s">
        <v>46</v>
      </c>
      <c r="J32" s="36" t="s">
        <v>47</v>
      </c>
      <c r="K32" s="30" t="s">
        <v>101</v>
      </c>
      <c r="L32" s="11" t="str">
        <f t="shared" si="5"/>
        <v>27/5/2022</v>
      </c>
      <c r="M32" s="30" t="s">
        <v>54</v>
      </c>
      <c r="N32" s="32" t="s">
        <v>55</v>
      </c>
      <c r="O32" s="30" t="s">
        <v>200</v>
      </c>
      <c r="P32" s="30" t="s">
        <v>42</v>
      </c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4">
        <v>32.0</v>
      </c>
      <c r="B33" s="29"/>
      <c r="C33" s="30" t="s">
        <v>201</v>
      </c>
      <c r="D33" s="30"/>
      <c r="E33" s="30"/>
      <c r="F33" s="30" t="s">
        <v>202</v>
      </c>
      <c r="G33" s="30" t="s">
        <v>122</v>
      </c>
      <c r="H33" s="30" t="s">
        <v>97</v>
      </c>
      <c r="I33" s="30" t="s">
        <v>46</v>
      </c>
      <c r="J33" s="31" t="s">
        <v>47</v>
      </c>
      <c r="K33" s="30" t="s">
        <v>101</v>
      </c>
      <c r="L33" s="11" t="str">
        <f t="shared" si="5"/>
        <v>27/5/2022</v>
      </c>
      <c r="M33" s="30" t="s">
        <v>54</v>
      </c>
      <c r="N33" s="32" t="s">
        <v>55</v>
      </c>
      <c r="O33" s="30" t="s">
        <v>203</v>
      </c>
      <c r="P33" s="30" t="s">
        <v>42</v>
      </c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4">
        <v>33.0</v>
      </c>
      <c r="B34" s="6">
        <v>1.0</v>
      </c>
      <c r="C34" s="43" t="s">
        <v>204</v>
      </c>
      <c r="D34" s="6"/>
      <c r="E34" s="6"/>
      <c r="F34" s="6"/>
      <c r="G34" s="6"/>
      <c r="H34" s="6" t="s">
        <v>60</v>
      </c>
      <c r="I34" s="6" t="s">
        <v>46</v>
      </c>
      <c r="J34" s="8" t="s">
        <v>47</v>
      </c>
      <c r="K34" s="6" t="s">
        <v>205</v>
      </c>
      <c r="L34" s="11" t="str">
        <f t="shared" si="5"/>
        <v>27/5/2022</v>
      </c>
      <c r="M34" s="6"/>
      <c r="N34" s="6"/>
      <c r="O34" s="6"/>
      <c r="P34" s="6"/>
      <c r="Q34" s="6" t="s">
        <v>206</v>
      </c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4">
        <v>34.0</v>
      </c>
      <c r="B35" s="6">
        <v>2.0</v>
      </c>
      <c r="C35" s="6" t="s">
        <v>207</v>
      </c>
      <c r="D35" s="6"/>
      <c r="E35" s="6"/>
      <c r="F35" s="6"/>
      <c r="G35" s="6"/>
      <c r="H35" s="6" t="s">
        <v>60</v>
      </c>
      <c r="I35" s="6" t="s">
        <v>46</v>
      </c>
      <c r="J35" s="8" t="s">
        <v>47</v>
      </c>
      <c r="K35" s="6" t="s">
        <v>205</v>
      </c>
      <c r="L35" s="11" t="str">
        <f t="shared" si="5"/>
        <v>27/5/2022</v>
      </c>
      <c r="M35" s="6"/>
      <c r="N35" s="6"/>
      <c r="O35" s="6"/>
      <c r="P35" s="6"/>
      <c r="Q35" s="6" t="s">
        <v>206</v>
      </c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4">
        <v>35.0</v>
      </c>
      <c r="B36" s="6">
        <v>3.0</v>
      </c>
      <c r="C36" s="6" t="s">
        <v>208</v>
      </c>
      <c r="D36" s="6"/>
      <c r="E36" s="6"/>
      <c r="F36" s="6"/>
      <c r="G36" s="6"/>
      <c r="H36" s="6" t="s">
        <v>60</v>
      </c>
      <c r="I36" s="6" t="s">
        <v>46</v>
      </c>
      <c r="J36" s="8" t="s">
        <v>47</v>
      </c>
      <c r="K36" s="6" t="s">
        <v>205</v>
      </c>
      <c r="L36" s="11" t="str">
        <f t="shared" si="5"/>
        <v>27/5/2022</v>
      </c>
      <c r="M36" s="6"/>
      <c r="N36" s="6"/>
      <c r="O36" s="6"/>
      <c r="P36" s="6"/>
      <c r="Q36" s="6" t="s">
        <v>206</v>
      </c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4">
        <v>36.0</v>
      </c>
      <c r="B37" s="6">
        <v>4.0</v>
      </c>
      <c r="C37" s="6" t="s">
        <v>209</v>
      </c>
      <c r="D37" s="6"/>
      <c r="E37" s="6"/>
      <c r="F37" s="6"/>
      <c r="G37" s="6"/>
      <c r="H37" s="6" t="s">
        <v>60</v>
      </c>
      <c r="I37" s="6" t="s">
        <v>70</v>
      </c>
      <c r="J37" s="8" t="s">
        <v>71</v>
      </c>
      <c r="K37" s="6" t="s">
        <v>62</v>
      </c>
      <c r="L37" s="11" t="str">
        <f t="shared" si="5"/>
        <v>29/9/2022</v>
      </c>
      <c r="M37" s="6"/>
      <c r="N37" s="6"/>
      <c r="O37" s="6"/>
      <c r="P37" s="6"/>
      <c r="Q37" s="6" t="s">
        <v>206</v>
      </c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4">
        <v>37.0</v>
      </c>
      <c r="B38" s="44">
        <v>5.0</v>
      </c>
      <c r="C38" s="45" t="s">
        <v>210</v>
      </c>
      <c r="D38" s="44"/>
      <c r="E38" s="44"/>
      <c r="F38" s="44"/>
      <c r="G38" s="44"/>
      <c r="H38" s="44" t="s">
        <v>97</v>
      </c>
      <c r="I38" s="44" t="s">
        <v>46</v>
      </c>
      <c r="J38" s="46" t="s">
        <v>47</v>
      </c>
      <c r="K38" s="44" t="s">
        <v>101</v>
      </c>
      <c r="L38" s="11" t="str">
        <f t="shared" si="5"/>
        <v>27/5/2022</v>
      </c>
      <c r="M38" s="44"/>
      <c r="N38" s="44"/>
      <c r="O38" s="44"/>
      <c r="P38" s="44"/>
      <c r="Q38" s="44" t="s">
        <v>206</v>
      </c>
      <c r="R38" s="44"/>
      <c r="S38" s="44"/>
      <c r="T38" s="44"/>
      <c r="U38" s="44"/>
      <c r="V38" s="44"/>
      <c r="W38" s="44"/>
      <c r="X38" s="44"/>
      <c r="Y38" s="44"/>
      <c r="Z38" s="44"/>
    </row>
    <row r="39" ht="15.75" customHeight="1">
      <c r="A39" s="47">
        <v>38.0</v>
      </c>
      <c r="B39" s="44">
        <v>6.0</v>
      </c>
      <c r="C39" s="44" t="s">
        <v>211</v>
      </c>
      <c r="D39" s="44"/>
      <c r="E39" s="44"/>
      <c r="F39" s="44"/>
      <c r="G39" s="44"/>
      <c r="H39" s="44" t="s">
        <v>111</v>
      </c>
      <c r="I39" s="44" t="s">
        <v>30</v>
      </c>
      <c r="J39" s="46" t="s">
        <v>32</v>
      </c>
      <c r="K39" s="48" t="s">
        <v>135</v>
      </c>
      <c r="L39" s="49" t="str">
        <f t="shared" si="5"/>
        <v>24/02/2023</v>
      </c>
      <c r="M39" s="44"/>
      <c r="N39" s="44"/>
      <c r="O39" s="44"/>
      <c r="P39" s="44"/>
      <c r="Q39" s="44" t="s">
        <v>206</v>
      </c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4">
        <v>39.0</v>
      </c>
      <c r="B40" s="6">
        <v>7.0</v>
      </c>
      <c r="C40" s="6" t="s">
        <v>212</v>
      </c>
      <c r="D40" s="6"/>
      <c r="E40" s="6"/>
      <c r="F40" s="6"/>
      <c r="G40" s="6"/>
      <c r="H40" s="6" t="s">
        <v>133</v>
      </c>
      <c r="I40" s="6" t="s">
        <v>30</v>
      </c>
      <c r="J40" s="8" t="s">
        <v>32</v>
      </c>
      <c r="K40" s="6" t="s">
        <v>135</v>
      </c>
      <c r="L40" s="11" t="str">
        <f t="shared" si="5"/>
        <v>24/02/2023</v>
      </c>
      <c r="M40" s="6"/>
      <c r="N40" s="6"/>
      <c r="O40" s="6"/>
      <c r="P40" s="6"/>
      <c r="Q40" s="6" t="s">
        <v>206</v>
      </c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4">
        <v>40.0</v>
      </c>
      <c r="B41" s="6">
        <v>8.0</v>
      </c>
      <c r="C41" s="6" t="s">
        <v>213</v>
      </c>
      <c r="D41" s="6"/>
      <c r="E41" s="6"/>
      <c r="F41" s="6"/>
      <c r="G41" s="6"/>
      <c r="H41" s="6" t="s">
        <v>133</v>
      </c>
      <c r="I41" s="6" t="s">
        <v>30</v>
      </c>
      <c r="J41" s="8" t="s">
        <v>32</v>
      </c>
      <c r="K41" s="6" t="s">
        <v>135</v>
      </c>
      <c r="L41" s="11" t="str">
        <f t="shared" si="5"/>
        <v>24/02/2023</v>
      </c>
      <c r="M41" s="6"/>
      <c r="N41" s="6"/>
      <c r="O41" s="6"/>
      <c r="P41" s="6"/>
      <c r="Q41" s="6" t="s">
        <v>206</v>
      </c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4">
        <v>41.0</v>
      </c>
      <c r="B42" s="6">
        <v>9.0</v>
      </c>
      <c r="C42" s="6" t="s">
        <v>214</v>
      </c>
      <c r="D42" s="6"/>
      <c r="E42" s="6"/>
      <c r="F42" s="6"/>
      <c r="G42" s="6"/>
      <c r="H42" s="6" t="s">
        <v>133</v>
      </c>
      <c r="I42" s="6" t="s">
        <v>30</v>
      </c>
      <c r="J42" s="8" t="s">
        <v>32</v>
      </c>
      <c r="K42" s="6" t="s">
        <v>135</v>
      </c>
      <c r="L42" s="11" t="str">
        <f t="shared" si="5"/>
        <v>24/02/2023</v>
      </c>
      <c r="M42" s="6"/>
      <c r="N42" s="6"/>
      <c r="O42" s="6"/>
      <c r="P42" s="6"/>
      <c r="Q42" s="6" t="s">
        <v>206</v>
      </c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4">
        <v>42.0</v>
      </c>
      <c r="B43" s="6">
        <v>10.0</v>
      </c>
      <c r="C43" s="6" t="s">
        <v>215</v>
      </c>
      <c r="D43" s="6"/>
      <c r="E43" s="6"/>
      <c r="F43" s="6"/>
      <c r="G43" s="6"/>
      <c r="H43" s="6" t="s">
        <v>133</v>
      </c>
      <c r="I43" s="6" t="s">
        <v>30</v>
      </c>
      <c r="J43" s="8" t="s">
        <v>32</v>
      </c>
      <c r="K43" s="6" t="s">
        <v>135</v>
      </c>
      <c r="L43" s="11" t="str">
        <f t="shared" si="5"/>
        <v>24/02/2023</v>
      </c>
      <c r="M43" s="6"/>
      <c r="N43" s="6"/>
      <c r="O43" s="6"/>
      <c r="P43" s="6"/>
      <c r="Q43" s="6" t="s">
        <v>206</v>
      </c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4">
        <v>43.0</v>
      </c>
      <c r="B44" s="6">
        <v>11.0</v>
      </c>
      <c r="C44" s="6" t="s">
        <v>216</v>
      </c>
      <c r="D44" s="6"/>
      <c r="E44" s="6"/>
      <c r="F44" s="6"/>
      <c r="G44" s="6"/>
      <c r="H44" s="6" t="s">
        <v>133</v>
      </c>
      <c r="I44" s="6" t="s">
        <v>30</v>
      </c>
      <c r="J44" s="8" t="s">
        <v>32</v>
      </c>
      <c r="K44" s="6" t="s">
        <v>135</v>
      </c>
      <c r="L44" s="11" t="str">
        <f t="shared" si="5"/>
        <v>24/02/2023</v>
      </c>
      <c r="M44" s="6"/>
      <c r="N44" s="6"/>
      <c r="O44" s="6"/>
      <c r="P44" s="6"/>
      <c r="Q44" s="6" t="s">
        <v>206</v>
      </c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4">
        <v>44.0</v>
      </c>
      <c r="B45" s="6">
        <v>12.0</v>
      </c>
      <c r="C45" s="6" t="s">
        <v>59</v>
      </c>
      <c r="D45" s="6"/>
      <c r="E45" s="6"/>
      <c r="F45" s="6"/>
      <c r="G45" s="6"/>
      <c r="H45" s="6" t="s">
        <v>60</v>
      </c>
      <c r="I45" s="6" t="s">
        <v>30</v>
      </c>
      <c r="J45" s="8" t="s">
        <v>32</v>
      </c>
      <c r="K45" s="6" t="s">
        <v>62</v>
      </c>
      <c r="L45" s="11" t="str">
        <f t="shared" si="5"/>
        <v>24/02/2023</v>
      </c>
      <c r="M45" s="6"/>
      <c r="N45" s="6"/>
      <c r="O45" s="6"/>
      <c r="P45" s="6"/>
      <c r="Q45" s="6" t="s">
        <v>206</v>
      </c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4">
        <v>45.0</v>
      </c>
      <c r="B46" s="6">
        <v>13.0</v>
      </c>
      <c r="C46" s="6" t="s">
        <v>73</v>
      </c>
      <c r="D46" s="6"/>
      <c r="E46" s="6"/>
      <c r="F46" s="6"/>
      <c r="G46" s="6"/>
      <c r="H46" s="6" t="s">
        <v>60</v>
      </c>
      <c r="I46" s="6" t="s">
        <v>30</v>
      </c>
      <c r="J46" s="8" t="s">
        <v>32</v>
      </c>
      <c r="K46" s="6" t="s">
        <v>62</v>
      </c>
      <c r="L46" s="11" t="str">
        <f t="shared" si="5"/>
        <v>24/02/2023</v>
      </c>
      <c r="M46" s="6"/>
      <c r="N46" s="6"/>
      <c r="O46" s="6"/>
      <c r="P46" s="6"/>
      <c r="Q46" s="6" t="s">
        <v>206</v>
      </c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4">
        <v>46.0</v>
      </c>
      <c r="B47" s="6">
        <v>14.0</v>
      </c>
      <c r="C47" s="6" t="s">
        <v>78</v>
      </c>
      <c r="D47" s="6"/>
      <c r="E47" s="6"/>
      <c r="F47" s="6"/>
      <c r="G47" s="6"/>
      <c r="H47" s="6" t="s">
        <v>60</v>
      </c>
      <c r="I47" s="6" t="s">
        <v>30</v>
      </c>
      <c r="J47" s="8" t="s">
        <v>32</v>
      </c>
      <c r="K47" s="6" t="s">
        <v>62</v>
      </c>
      <c r="L47" s="11" t="str">
        <f t="shared" si="5"/>
        <v>24/02/2023</v>
      </c>
      <c r="M47" s="6"/>
      <c r="N47" s="6"/>
      <c r="O47" s="6"/>
      <c r="P47" s="6"/>
      <c r="Q47" s="6" t="s">
        <v>206</v>
      </c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4">
        <v>47.0</v>
      </c>
      <c r="B48" s="6">
        <v>15.0</v>
      </c>
      <c r="C48" s="6" t="s">
        <v>82</v>
      </c>
      <c r="D48" s="6"/>
      <c r="E48" s="6"/>
      <c r="F48" s="6"/>
      <c r="G48" s="6"/>
      <c r="H48" s="20" t="s">
        <v>83</v>
      </c>
      <c r="I48" s="6" t="s">
        <v>30</v>
      </c>
      <c r="J48" s="8" t="s">
        <v>32</v>
      </c>
      <c r="K48" s="6" t="s">
        <v>84</v>
      </c>
      <c r="L48" s="11" t="str">
        <f t="shared" si="5"/>
        <v>24/02/2023</v>
      </c>
      <c r="M48" s="6"/>
      <c r="N48" s="6"/>
      <c r="O48" s="6"/>
      <c r="P48" s="6"/>
      <c r="Q48" s="6" t="s">
        <v>206</v>
      </c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4">
        <v>48.0</v>
      </c>
      <c r="B49" s="6">
        <v>16.0</v>
      </c>
      <c r="C49" s="6" t="s">
        <v>88</v>
      </c>
      <c r="D49" s="6"/>
      <c r="E49" s="6"/>
      <c r="F49" s="6"/>
      <c r="G49" s="6"/>
      <c r="H49" s="20" t="s">
        <v>83</v>
      </c>
      <c r="I49" s="6" t="s">
        <v>30</v>
      </c>
      <c r="J49" s="8" t="s">
        <v>32</v>
      </c>
      <c r="K49" s="6" t="s">
        <v>84</v>
      </c>
      <c r="L49" s="11" t="str">
        <f t="shared" si="5"/>
        <v>24/02/2023</v>
      </c>
      <c r="M49" s="6"/>
      <c r="N49" s="6"/>
      <c r="O49" s="6"/>
      <c r="P49" s="6"/>
      <c r="Q49" s="6" t="s">
        <v>206</v>
      </c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4">
        <v>49.0</v>
      </c>
      <c r="B50" s="44">
        <v>1.0</v>
      </c>
      <c r="C50" s="44" t="s">
        <v>217</v>
      </c>
      <c r="D50" s="44"/>
      <c r="E50" s="44"/>
      <c r="F50" s="44"/>
      <c r="G50" s="44"/>
      <c r="H50" s="50" t="s">
        <v>218</v>
      </c>
      <c r="I50" s="44" t="s">
        <v>99</v>
      </c>
      <c r="J50" s="46" t="s">
        <v>100</v>
      </c>
      <c r="K50" s="44" t="s">
        <v>219</v>
      </c>
      <c r="L50" s="8" t="s">
        <v>100</v>
      </c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5.75" customHeight="1">
      <c r="A51" s="4">
        <v>50.0</v>
      </c>
      <c r="B51" s="6">
        <v>2.0</v>
      </c>
      <c r="C51" s="6" t="s">
        <v>220</v>
      </c>
      <c r="D51" s="6"/>
      <c r="E51" s="6"/>
      <c r="F51" s="6"/>
      <c r="G51" s="6"/>
      <c r="H51" s="20" t="s">
        <v>60</v>
      </c>
      <c r="I51" s="6" t="s">
        <v>99</v>
      </c>
      <c r="J51" s="8" t="s">
        <v>100</v>
      </c>
      <c r="K51" s="6" t="s">
        <v>221</v>
      </c>
      <c r="L51" s="8" t="s">
        <v>100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4">
        <v>51.0</v>
      </c>
      <c r="B52" s="6">
        <v>3.0</v>
      </c>
      <c r="C52" s="6" t="s">
        <v>222</v>
      </c>
      <c r="D52" s="6"/>
      <c r="E52" s="6"/>
      <c r="F52" s="6"/>
      <c r="G52" s="6"/>
      <c r="H52" s="20" t="s">
        <v>60</v>
      </c>
      <c r="I52" s="6" t="s">
        <v>99</v>
      </c>
      <c r="J52" s="8" t="s">
        <v>100</v>
      </c>
      <c r="K52" s="6" t="s">
        <v>221</v>
      </c>
      <c r="L52" s="8" t="s">
        <v>100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4">
        <v>52.0</v>
      </c>
      <c r="B53" s="6">
        <v>4.0</v>
      </c>
      <c r="C53" s="6" t="s">
        <v>223</v>
      </c>
      <c r="D53" s="6"/>
      <c r="E53" s="6"/>
      <c r="F53" s="6"/>
      <c r="G53" s="6"/>
      <c r="H53" s="20" t="s">
        <v>60</v>
      </c>
      <c r="I53" s="6" t="s">
        <v>99</v>
      </c>
      <c r="J53" s="8" t="s">
        <v>100</v>
      </c>
      <c r="K53" s="6" t="s">
        <v>221</v>
      </c>
      <c r="L53" s="8" t="s">
        <v>100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4">
        <v>53.0</v>
      </c>
      <c r="B54" s="6">
        <v>5.0</v>
      </c>
      <c r="C54" s="6" t="s">
        <v>224</v>
      </c>
      <c r="D54" s="6"/>
      <c r="E54" s="6"/>
      <c r="F54" s="6"/>
      <c r="G54" s="6"/>
      <c r="H54" s="20" t="s">
        <v>60</v>
      </c>
      <c r="I54" s="6" t="s">
        <v>99</v>
      </c>
      <c r="J54" s="8" t="s">
        <v>100</v>
      </c>
      <c r="K54" s="6" t="s">
        <v>221</v>
      </c>
      <c r="L54" s="8" t="s">
        <v>100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4">
        <v>54.0</v>
      </c>
      <c r="B55" s="6">
        <v>6.0</v>
      </c>
      <c r="C55" s="6" t="s">
        <v>225</v>
      </c>
      <c r="D55" s="6"/>
      <c r="E55" s="6"/>
      <c r="F55" s="6"/>
      <c r="G55" s="6"/>
      <c r="H55" s="20" t="s">
        <v>60</v>
      </c>
      <c r="I55" s="6" t="s">
        <v>99</v>
      </c>
      <c r="J55" s="8" t="s">
        <v>100</v>
      </c>
      <c r="K55" s="6" t="s">
        <v>221</v>
      </c>
      <c r="L55" s="8" t="s">
        <v>100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4">
        <v>55.0</v>
      </c>
      <c r="B56" s="6">
        <v>7.0</v>
      </c>
      <c r="C56" s="6" t="s">
        <v>226</v>
      </c>
      <c r="D56" s="6"/>
      <c r="E56" s="6"/>
      <c r="F56" s="6"/>
      <c r="G56" s="6"/>
      <c r="H56" s="20" t="s">
        <v>97</v>
      </c>
      <c r="I56" s="6" t="s">
        <v>99</v>
      </c>
      <c r="J56" s="8" t="s">
        <v>100</v>
      </c>
      <c r="K56" s="6" t="s">
        <v>101</v>
      </c>
      <c r="L56" s="8" t="s">
        <v>100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4">
        <v>56.0</v>
      </c>
      <c r="B57" s="6">
        <v>8.0</v>
      </c>
      <c r="C57" s="6" t="s">
        <v>227</v>
      </c>
      <c r="D57" s="6"/>
      <c r="E57" s="6"/>
      <c r="F57" s="6"/>
      <c r="G57" s="6"/>
      <c r="H57" s="20" t="s">
        <v>97</v>
      </c>
      <c r="I57" s="6" t="s">
        <v>99</v>
      </c>
      <c r="J57" s="8" t="s">
        <v>100</v>
      </c>
      <c r="K57" s="6" t="s">
        <v>101</v>
      </c>
      <c r="L57" s="8" t="s">
        <v>100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4">
        <v>57.0</v>
      </c>
      <c r="B58" s="6">
        <v>9.0</v>
      </c>
      <c r="C58" s="6" t="s">
        <v>228</v>
      </c>
      <c r="D58" s="6"/>
      <c r="E58" s="6"/>
      <c r="F58" s="6"/>
      <c r="G58" s="6"/>
      <c r="H58" s="20" t="s">
        <v>97</v>
      </c>
      <c r="I58" s="6" t="s">
        <v>99</v>
      </c>
      <c r="J58" s="8" t="s">
        <v>100</v>
      </c>
      <c r="K58" s="6" t="s">
        <v>101</v>
      </c>
      <c r="L58" s="8" t="s">
        <v>100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4">
        <v>58.0</v>
      </c>
      <c r="B59" s="6">
        <v>10.0</v>
      </c>
      <c r="C59" s="6" t="s">
        <v>94</v>
      </c>
      <c r="D59" s="6"/>
      <c r="E59" s="6"/>
      <c r="F59" s="6"/>
      <c r="G59" s="6"/>
      <c r="H59" s="20" t="s">
        <v>97</v>
      </c>
      <c r="I59" s="6" t="s">
        <v>99</v>
      </c>
      <c r="J59" s="8" t="s">
        <v>100</v>
      </c>
      <c r="K59" s="6" t="s">
        <v>101</v>
      </c>
      <c r="L59" s="8" t="s">
        <v>100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4">
        <v>59.0</v>
      </c>
      <c r="B60" s="6">
        <v>11.0</v>
      </c>
      <c r="C60" s="6" t="s">
        <v>105</v>
      </c>
      <c r="D60" s="6"/>
      <c r="E60" s="6"/>
      <c r="F60" s="6"/>
      <c r="G60" s="6"/>
      <c r="H60" s="20" t="s">
        <v>111</v>
      </c>
      <c r="I60" s="6" t="s">
        <v>99</v>
      </c>
      <c r="J60" s="8" t="s">
        <v>100</v>
      </c>
      <c r="K60" s="6" t="s">
        <v>113</v>
      </c>
      <c r="L60" s="8" t="s">
        <v>100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4">
        <v>60.0</v>
      </c>
      <c r="B61" s="6">
        <v>12.0</v>
      </c>
      <c r="C61" s="6" t="s">
        <v>117</v>
      </c>
      <c r="D61" s="6"/>
      <c r="E61" s="6"/>
      <c r="F61" s="6"/>
      <c r="G61" s="6"/>
      <c r="H61" s="20" t="s">
        <v>111</v>
      </c>
      <c r="I61" s="6" t="s">
        <v>99</v>
      </c>
      <c r="J61" s="8" t="s">
        <v>100</v>
      </c>
      <c r="K61" s="6" t="s">
        <v>113</v>
      </c>
      <c r="L61" s="8" t="s">
        <v>100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4">
        <v>61.0</v>
      </c>
      <c r="B62" s="6">
        <v>13.0</v>
      </c>
      <c r="C62" s="6" t="s">
        <v>127</v>
      </c>
      <c r="D62" s="6"/>
      <c r="E62" s="6"/>
      <c r="F62" s="6"/>
      <c r="G62" s="6"/>
      <c r="H62" s="20" t="s">
        <v>111</v>
      </c>
      <c r="I62" s="6" t="s">
        <v>99</v>
      </c>
      <c r="J62" s="8" t="s">
        <v>100</v>
      </c>
      <c r="K62" s="6" t="s">
        <v>113</v>
      </c>
      <c r="L62" s="8" t="s">
        <v>100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4">
        <v>62.0</v>
      </c>
      <c r="B63" s="6">
        <v>14.0</v>
      </c>
      <c r="C63" s="6" t="s">
        <v>229</v>
      </c>
      <c r="D63" s="6"/>
      <c r="E63" s="6"/>
      <c r="F63" s="6"/>
      <c r="G63" s="6"/>
      <c r="H63" s="20" t="s">
        <v>111</v>
      </c>
      <c r="I63" s="6" t="s">
        <v>99</v>
      </c>
      <c r="J63" s="8" t="s">
        <v>100</v>
      </c>
      <c r="K63" s="6" t="s">
        <v>113</v>
      </c>
      <c r="L63" s="8" t="s">
        <v>100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4">
        <v>63.0</v>
      </c>
      <c r="B64" s="6">
        <v>15.0</v>
      </c>
      <c r="C64" s="6" t="s">
        <v>230</v>
      </c>
      <c r="D64" s="6"/>
      <c r="E64" s="6"/>
      <c r="F64" s="6"/>
      <c r="G64" s="6"/>
      <c r="H64" s="20" t="s">
        <v>111</v>
      </c>
      <c r="I64" s="6" t="s">
        <v>99</v>
      </c>
      <c r="J64" s="8" t="s">
        <v>100</v>
      </c>
      <c r="K64" s="6" t="s">
        <v>113</v>
      </c>
      <c r="L64" s="8" t="s">
        <v>100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4">
        <v>64.0</v>
      </c>
      <c r="B65" s="6">
        <v>16.0</v>
      </c>
      <c r="C65" s="6" t="s">
        <v>231</v>
      </c>
      <c r="D65" s="6"/>
      <c r="E65" s="6"/>
      <c r="F65" s="6"/>
      <c r="G65" s="6"/>
      <c r="H65" s="20" t="s">
        <v>232</v>
      </c>
      <c r="I65" s="6" t="s">
        <v>99</v>
      </c>
      <c r="J65" s="8" t="s">
        <v>100</v>
      </c>
      <c r="K65" s="6" t="s">
        <v>84</v>
      </c>
      <c r="L65" s="8" t="s">
        <v>100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4">
        <v>65.0</v>
      </c>
      <c r="B66" s="6">
        <v>17.0</v>
      </c>
      <c r="C66" s="6" t="s">
        <v>233</v>
      </c>
      <c r="D66" s="6"/>
      <c r="E66" s="6"/>
      <c r="F66" s="6"/>
      <c r="G66" s="6"/>
      <c r="H66" s="20" t="s">
        <v>232</v>
      </c>
      <c r="I66" s="6" t="s">
        <v>99</v>
      </c>
      <c r="J66" s="8" t="s">
        <v>100</v>
      </c>
      <c r="K66" s="6" t="s">
        <v>84</v>
      </c>
      <c r="L66" s="8" t="s">
        <v>100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4">
        <v>66.0</v>
      </c>
      <c r="B67" s="6">
        <v>18.0</v>
      </c>
      <c r="C67" s="6" t="s">
        <v>234</v>
      </c>
      <c r="D67" s="6"/>
      <c r="E67" s="6"/>
      <c r="F67" s="6"/>
      <c r="G67" s="6"/>
      <c r="H67" s="20" t="s">
        <v>232</v>
      </c>
      <c r="I67" s="6" t="s">
        <v>99</v>
      </c>
      <c r="J67" s="8" t="s">
        <v>100</v>
      </c>
      <c r="K67" s="6" t="s">
        <v>84</v>
      </c>
      <c r="L67" s="8" t="s">
        <v>100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4">
        <v>67.0</v>
      </c>
      <c r="B68" s="6">
        <v>19.0</v>
      </c>
      <c r="C68" s="6" t="s">
        <v>82</v>
      </c>
      <c r="D68" s="6"/>
      <c r="E68" s="6"/>
      <c r="F68" s="6"/>
      <c r="G68" s="6"/>
      <c r="H68" s="20" t="s">
        <v>232</v>
      </c>
      <c r="I68" s="6" t="s">
        <v>99</v>
      </c>
      <c r="J68" s="8" t="s">
        <v>100</v>
      </c>
      <c r="K68" s="6" t="s">
        <v>84</v>
      </c>
      <c r="L68" s="8" t="s">
        <v>100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4">
        <v>68.0</v>
      </c>
      <c r="B69" s="6">
        <v>20.0</v>
      </c>
      <c r="C69" s="6" t="s">
        <v>88</v>
      </c>
      <c r="D69" s="6"/>
      <c r="E69" s="6"/>
      <c r="F69" s="6"/>
      <c r="G69" s="6"/>
      <c r="H69" s="20" t="s">
        <v>232</v>
      </c>
      <c r="I69" s="6" t="s">
        <v>99</v>
      </c>
      <c r="J69" s="8" t="s">
        <v>100</v>
      </c>
      <c r="K69" s="6" t="s">
        <v>84</v>
      </c>
      <c r="L69" s="8" t="s">
        <v>100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4">
        <v>69.0</v>
      </c>
      <c r="B70" s="6">
        <v>21.0</v>
      </c>
      <c r="C70" s="6" t="s">
        <v>235</v>
      </c>
      <c r="D70" s="6"/>
      <c r="E70" s="6"/>
      <c r="F70" s="6"/>
      <c r="G70" s="6"/>
      <c r="H70" s="20" t="s">
        <v>232</v>
      </c>
      <c r="I70" s="6" t="s">
        <v>99</v>
      </c>
      <c r="J70" s="8" t="s">
        <v>100</v>
      </c>
      <c r="K70" s="6" t="s">
        <v>84</v>
      </c>
      <c r="L70" s="8" t="s">
        <v>100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4">
        <v>70.0</v>
      </c>
      <c r="B71" s="6">
        <v>22.0</v>
      </c>
      <c r="C71" s="6" t="s">
        <v>236</v>
      </c>
      <c r="D71" s="6"/>
      <c r="E71" s="6"/>
      <c r="F71" s="6"/>
      <c r="G71" s="6"/>
      <c r="H71" s="20" t="s">
        <v>232</v>
      </c>
      <c r="I71" s="6" t="s">
        <v>99</v>
      </c>
      <c r="J71" s="8" t="s">
        <v>100</v>
      </c>
      <c r="K71" s="6" t="s">
        <v>84</v>
      </c>
      <c r="L71" s="8" t="s">
        <v>100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4">
        <v>71.0</v>
      </c>
      <c r="B72" s="6">
        <v>23.0</v>
      </c>
      <c r="C72" s="6" t="s">
        <v>134</v>
      </c>
      <c r="D72" s="6"/>
      <c r="E72" s="6"/>
      <c r="F72" s="6"/>
      <c r="G72" s="6"/>
      <c r="H72" s="20" t="s">
        <v>136</v>
      </c>
      <c r="I72" s="6" t="s">
        <v>99</v>
      </c>
      <c r="J72" s="8" t="s">
        <v>100</v>
      </c>
      <c r="K72" s="6" t="s">
        <v>137</v>
      </c>
      <c r="L72" s="8" t="s">
        <v>100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4">
        <v>72.0</v>
      </c>
      <c r="B73" s="6">
        <v>24.0</v>
      </c>
      <c r="C73" s="6" t="s">
        <v>139</v>
      </c>
      <c r="D73" s="6"/>
      <c r="E73" s="6"/>
      <c r="F73" s="6"/>
      <c r="G73" s="6"/>
      <c r="H73" s="20" t="s">
        <v>136</v>
      </c>
      <c r="I73" s="6" t="s">
        <v>99</v>
      </c>
      <c r="J73" s="8" t="s">
        <v>100</v>
      </c>
      <c r="K73" s="6" t="s">
        <v>137</v>
      </c>
      <c r="L73" s="8" t="s">
        <v>100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4">
        <v>73.0</v>
      </c>
      <c r="B74" s="6">
        <v>25.0</v>
      </c>
      <c r="C74" s="6" t="s">
        <v>237</v>
      </c>
      <c r="D74" s="6"/>
      <c r="E74" s="6"/>
      <c r="F74" s="6"/>
      <c r="G74" s="6"/>
      <c r="H74" s="20" t="s">
        <v>136</v>
      </c>
      <c r="I74" s="6" t="s">
        <v>99</v>
      </c>
      <c r="J74" s="8" t="s">
        <v>100</v>
      </c>
      <c r="K74" s="6" t="s">
        <v>137</v>
      </c>
      <c r="L74" s="8" t="s">
        <v>100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4">
        <v>74.0</v>
      </c>
      <c r="B75" s="6">
        <v>26.0</v>
      </c>
      <c r="C75" s="6" t="s">
        <v>238</v>
      </c>
      <c r="D75" s="6"/>
      <c r="E75" s="6"/>
      <c r="F75" s="6"/>
      <c r="G75" s="6"/>
      <c r="H75" s="20" t="s">
        <v>136</v>
      </c>
      <c r="I75" s="6" t="s">
        <v>99</v>
      </c>
      <c r="J75" s="8" t="s">
        <v>100</v>
      </c>
      <c r="K75" s="6" t="s">
        <v>137</v>
      </c>
      <c r="L75" s="8" t="s">
        <v>100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4">
        <v>75.0</v>
      </c>
      <c r="B76" s="6">
        <v>27.0</v>
      </c>
      <c r="C76" s="6" t="s">
        <v>239</v>
      </c>
      <c r="D76" s="6"/>
      <c r="E76" s="6"/>
      <c r="F76" s="6"/>
      <c r="G76" s="6"/>
      <c r="H76" s="20" t="s">
        <v>136</v>
      </c>
      <c r="I76" s="6" t="s">
        <v>99</v>
      </c>
      <c r="J76" s="8" t="s">
        <v>100</v>
      </c>
      <c r="K76" s="6" t="s">
        <v>137</v>
      </c>
      <c r="L76" s="8" t="s">
        <v>100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4">
        <v>76.0</v>
      </c>
      <c r="B77" s="44">
        <v>17.0</v>
      </c>
      <c r="C77" s="44" t="s">
        <v>240</v>
      </c>
      <c r="D77" s="44"/>
      <c r="E77" s="44"/>
      <c r="F77" s="44"/>
      <c r="G77" s="44"/>
      <c r="H77" s="51" t="s">
        <v>136</v>
      </c>
      <c r="I77" s="44" t="s">
        <v>148</v>
      </c>
      <c r="J77" s="46" t="s">
        <v>149</v>
      </c>
      <c r="K77" s="44"/>
      <c r="L77" s="11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4">
        <v>77.0</v>
      </c>
      <c r="B78" s="6">
        <v>18.0</v>
      </c>
      <c r="C78" s="6" t="s">
        <v>241</v>
      </c>
      <c r="D78" s="6"/>
      <c r="E78" s="6"/>
      <c r="F78" s="6"/>
      <c r="G78" s="6"/>
      <c r="H78" s="6" t="s">
        <v>136</v>
      </c>
      <c r="I78" s="6" t="s">
        <v>148</v>
      </c>
      <c r="J78" s="8" t="s">
        <v>149</v>
      </c>
      <c r="K78" s="6"/>
      <c r="L78" s="1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4">
        <v>78.0</v>
      </c>
      <c r="B79" s="6">
        <v>19.0</v>
      </c>
      <c r="C79" s="6" t="s">
        <v>242</v>
      </c>
      <c r="D79" s="6"/>
      <c r="E79" s="6"/>
      <c r="F79" s="6"/>
      <c r="G79" s="6"/>
      <c r="H79" s="6" t="s">
        <v>136</v>
      </c>
      <c r="I79" s="6" t="s">
        <v>148</v>
      </c>
      <c r="J79" s="8" t="s">
        <v>149</v>
      </c>
      <c r="K79" s="6"/>
      <c r="L79" s="1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4">
        <v>79.0</v>
      </c>
      <c r="B80" s="6">
        <v>20.0</v>
      </c>
      <c r="C80" s="6" t="s">
        <v>243</v>
      </c>
      <c r="D80" s="6"/>
      <c r="E80" s="6"/>
      <c r="F80" s="6"/>
      <c r="G80" s="6"/>
      <c r="H80" s="6" t="s">
        <v>136</v>
      </c>
      <c r="I80" s="6" t="s">
        <v>148</v>
      </c>
      <c r="J80" s="8" t="s">
        <v>149</v>
      </c>
      <c r="K80" s="6"/>
      <c r="L80" s="1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4">
        <v>80.0</v>
      </c>
      <c r="B81" s="6">
        <v>21.0</v>
      </c>
      <c r="C81" s="6" t="s">
        <v>146</v>
      </c>
      <c r="D81" s="6"/>
      <c r="E81" s="6"/>
      <c r="F81" s="6"/>
      <c r="G81" s="6"/>
      <c r="H81" s="6" t="s">
        <v>136</v>
      </c>
      <c r="I81" s="6" t="s">
        <v>148</v>
      </c>
      <c r="J81" s="8" t="s">
        <v>149</v>
      </c>
      <c r="K81" s="6"/>
      <c r="L81" s="1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4">
        <v>81.0</v>
      </c>
      <c r="B82" s="6">
        <v>22.0</v>
      </c>
      <c r="C82" s="6" t="s">
        <v>154</v>
      </c>
      <c r="D82" s="6"/>
      <c r="E82" s="6"/>
      <c r="F82" s="6"/>
      <c r="G82" s="6"/>
      <c r="H82" s="6" t="s">
        <v>155</v>
      </c>
      <c r="I82" s="6" t="s">
        <v>148</v>
      </c>
      <c r="J82" s="8" t="s">
        <v>149</v>
      </c>
      <c r="K82" s="6"/>
      <c r="L82" s="1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4">
        <v>82.0</v>
      </c>
      <c r="B83" s="6">
        <v>23.0</v>
      </c>
      <c r="C83" s="6" t="s">
        <v>159</v>
      </c>
      <c r="D83" s="6"/>
      <c r="E83" s="6"/>
      <c r="F83" s="6"/>
      <c r="G83" s="6"/>
      <c r="H83" s="6" t="s">
        <v>161</v>
      </c>
      <c r="I83" s="6" t="s">
        <v>148</v>
      </c>
      <c r="J83" s="8" t="s">
        <v>149</v>
      </c>
      <c r="K83" s="6"/>
      <c r="L83" s="1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4">
        <v>83.0</v>
      </c>
      <c r="B84" s="6">
        <v>24.0</v>
      </c>
      <c r="C84" s="6" t="s">
        <v>164</v>
      </c>
      <c r="D84" s="6"/>
      <c r="E84" s="6"/>
      <c r="F84" s="6"/>
      <c r="G84" s="6"/>
      <c r="H84" s="6" t="s">
        <v>161</v>
      </c>
      <c r="I84" s="6" t="s">
        <v>148</v>
      </c>
      <c r="J84" s="8" t="s">
        <v>149</v>
      </c>
      <c r="K84" s="6"/>
      <c r="L84" s="1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4">
        <v>84.0</v>
      </c>
      <c r="B85" s="6">
        <v>25.0</v>
      </c>
      <c r="C85" s="6" t="s">
        <v>166</v>
      </c>
      <c r="D85" s="6"/>
      <c r="E85" s="6"/>
      <c r="F85" s="6"/>
      <c r="G85" s="6"/>
      <c r="H85" s="6" t="s">
        <v>161</v>
      </c>
      <c r="I85" s="6" t="s">
        <v>148</v>
      </c>
      <c r="J85" s="8" t="s">
        <v>149</v>
      </c>
      <c r="K85" s="6"/>
      <c r="L85" s="1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4">
        <v>85.0</v>
      </c>
      <c r="B86" s="6">
        <v>26.0</v>
      </c>
      <c r="C86" s="6" t="s">
        <v>244</v>
      </c>
      <c r="D86" s="6"/>
      <c r="E86" s="6"/>
      <c r="F86" s="6"/>
      <c r="G86" s="6"/>
      <c r="H86" s="6" t="s">
        <v>111</v>
      </c>
      <c r="I86" s="6" t="s">
        <v>148</v>
      </c>
      <c r="J86" s="8" t="s">
        <v>149</v>
      </c>
      <c r="K86" s="6"/>
      <c r="L86" s="1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4">
        <v>86.0</v>
      </c>
      <c r="B87" s="6">
        <v>27.0</v>
      </c>
      <c r="C87" s="6" t="s">
        <v>245</v>
      </c>
      <c r="D87" s="6"/>
      <c r="E87" s="6"/>
      <c r="F87" s="6"/>
      <c r="G87" s="6"/>
      <c r="H87" s="6" t="s">
        <v>111</v>
      </c>
      <c r="I87" s="6" t="s">
        <v>148</v>
      </c>
      <c r="J87" s="8" t="s">
        <v>149</v>
      </c>
      <c r="K87" s="6"/>
      <c r="L87" s="1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>
        <v>87.0</v>
      </c>
      <c r="B88" s="6">
        <v>28.0</v>
      </c>
      <c r="C88" s="6" t="s">
        <v>246</v>
      </c>
      <c r="D88" s="6"/>
      <c r="E88" s="6"/>
      <c r="F88" s="6"/>
      <c r="G88" s="6"/>
      <c r="H88" s="6" t="s">
        <v>111</v>
      </c>
      <c r="I88" s="6" t="s">
        <v>148</v>
      </c>
      <c r="J88" s="8" t="s">
        <v>149</v>
      </c>
      <c r="K88" s="6"/>
      <c r="L88" s="1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4">
        <v>88.0</v>
      </c>
      <c r="B89" s="6">
        <v>29.0</v>
      </c>
      <c r="C89" s="6" t="s">
        <v>247</v>
      </c>
      <c r="D89" s="6"/>
      <c r="E89" s="6"/>
      <c r="F89" s="6"/>
      <c r="G89" s="6"/>
      <c r="H89" s="6" t="s">
        <v>111</v>
      </c>
      <c r="I89" s="6" t="s">
        <v>148</v>
      </c>
      <c r="J89" s="8" t="s">
        <v>149</v>
      </c>
      <c r="K89" s="6"/>
      <c r="L89" s="1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4">
        <v>89.0</v>
      </c>
      <c r="B90" s="6">
        <v>30.0</v>
      </c>
      <c r="C90" s="6" t="s">
        <v>248</v>
      </c>
      <c r="D90" s="6"/>
      <c r="E90" s="6"/>
      <c r="F90" s="6"/>
      <c r="G90" s="6"/>
      <c r="H90" s="6" t="s">
        <v>249</v>
      </c>
      <c r="I90" s="6" t="s">
        <v>148</v>
      </c>
      <c r="J90" s="8" t="s">
        <v>149</v>
      </c>
      <c r="K90" s="6"/>
      <c r="L90" s="1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4">
        <v>90.0</v>
      </c>
      <c r="B91" s="6">
        <v>31.0</v>
      </c>
      <c r="C91" s="6" t="s">
        <v>250</v>
      </c>
      <c r="D91" s="6"/>
      <c r="E91" s="6"/>
      <c r="F91" s="6"/>
      <c r="G91" s="6"/>
      <c r="H91" s="6" t="s">
        <v>251</v>
      </c>
      <c r="I91" s="6" t="s">
        <v>148</v>
      </c>
      <c r="J91" s="8" t="s">
        <v>149</v>
      </c>
      <c r="K91" s="6"/>
      <c r="L91" s="1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4">
        <v>91.0</v>
      </c>
      <c r="B92" s="6">
        <v>32.0</v>
      </c>
      <c r="C92" s="6" t="s">
        <v>252</v>
      </c>
      <c r="D92" s="6"/>
      <c r="E92" s="6"/>
      <c r="F92" s="6"/>
      <c r="G92" s="6"/>
      <c r="H92" s="6" t="s">
        <v>251</v>
      </c>
      <c r="I92" s="6" t="s">
        <v>148</v>
      </c>
      <c r="J92" s="8" t="s">
        <v>149</v>
      </c>
      <c r="K92" s="6"/>
      <c r="L92" s="1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4">
        <v>92.0</v>
      </c>
      <c r="B93" s="6">
        <v>33.0</v>
      </c>
      <c r="C93" s="6" t="s">
        <v>253</v>
      </c>
      <c r="D93" s="6"/>
      <c r="E93" s="6"/>
      <c r="F93" s="6"/>
      <c r="G93" s="6"/>
      <c r="H93" s="6" t="s">
        <v>251</v>
      </c>
      <c r="I93" s="6" t="s">
        <v>148</v>
      </c>
      <c r="J93" s="8" t="s">
        <v>149</v>
      </c>
      <c r="K93" s="6"/>
      <c r="L93" s="1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4">
        <v>93.0</v>
      </c>
      <c r="B94" s="6">
        <v>34.0</v>
      </c>
      <c r="C94" s="6" t="s">
        <v>254</v>
      </c>
      <c r="D94" s="6"/>
      <c r="E94" s="6"/>
      <c r="F94" s="6"/>
      <c r="G94" s="6"/>
      <c r="H94" s="6" t="s">
        <v>251</v>
      </c>
      <c r="I94" s="6" t="s">
        <v>148</v>
      </c>
      <c r="J94" s="8" t="s">
        <v>149</v>
      </c>
      <c r="K94" s="6"/>
      <c r="L94" s="1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4">
        <v>94.0</v>
      </c>
      <c r="B95" s="6">
        <v>35.0</v>
      </c>
      <c r="C95" s="6" t="s">
        <v>255</v>
      </c>
      <c r="D95" s="6"/>
      <c r="E95" s="6"/>
      <c r="F95" s="6"/>
      <c r="G95" s="6"/>
      <c r="H95" s="52" t="s">
        <v>256</v>
      </c>
      <c r="I95" s="6" t="s">
        <v>148</v>
      </c>
      <c r="J95" s="8" t="s">
        <v>149</v>
      </c>
      <c r="K95" s="6"/>
      <c r="L95" s="1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4">
        <v>95.0</v>
      </c>
      <c r="B96" s="6">
        <v>36.0</v>
      </c>
      <c r="C96" s="6" t="s">
        <v>257</v>
      </c>
      <c r="D96" s="6"/>
      <c r="E96" s="6"/>
      <c r="F96" s="6"/>
      <c r="G96" s="6"/>
      <c r="H96" s="52" t="s">
        <v>256</v>
      </c>
      <c r="I96" s="6" t="s">
        <v>148</v>
      </c>
      <c r="J96" s="8" t="s">
        <v>149</v>
      </c>
      <c r="K96" s="6"/>
      <c r="L96" s="1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4.13"/>
    <col customWidth="1" min="2" max="2" width="10.13"/>
    <col customWidth="1" min="3" max="4" width="20.88"/>
    <col customWidth="1" min="5" max="6" width="13.38"/>
    <col customWidth="1" min="7" max="7" width="29.13"/>
    <col customWidth="1" min="8" max="8" width="25.5"/>
    <col customWidth="1" min="9" max="9" width="18.88"/>
    <col customWidth="1" min="10" max="10" width="22.13"/>
    <col customWidth="1" min="11" max="11" width="16.0"/>
    <col customWidth="1" min="12" max="12" width="37.88"/>
    <col customWidth="1" min="13" max="13" width="11.75"/>
    <col customWidth="1" min="14" max="14" width="20.13"/>
    <col customWidth="1" min="15" max="15" width="14.88"/>
    <col customWidth="1" min="16" max="17" width="16.0"/>
    <col customWidth="1" min="18" max="18" width="42.75"/>
    <col customWidth="1" min="19" max="26" width="8.75"/>
  </cols>
  <sheetData>
    <row r="1" ht="53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7</v>
      </c>
      <c r="H1" s="1" t="s">
        <v>9</v>
      </c>
      <c r="I1" s="1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1" t="s">
        <v>16</v>
      </c>
      <c r="P1" s="1" t="s">
        <v>18</v>
      </c>
      <c r="Q1" s="1" t="s">
        <v>19</v>
      </c>
      <c r="R1" s="3"/>
      <c r="S1" s="3"/>
      <c r="T1" s="3"/>
      <c r="U1" s="3"/>
      <c r="V1" s="3"/>
      <c r="W1" s="3"/>
      <c r="X1" s="3"/>
      <c r="Y1" s="3"/>
      <c r="Z1" s="3"/>
    </row>
    <row r="2" hidden="1">
      <c r="A2" s="4">
        <v>1.0</v>
      </c>
      <c r="B2" s="4"/>
      <c r="C2" s="5" t="s">
        <v>22</v>
      </c>
      <c r="D2" s="5"/>
      <c r="E2" s="5"/>
      <c r="F2" s="5"/>
      <c r="G2" s="5" t="s">
        <v>26</v>
      </c>
      <c r="H2" s="5"/>
      <c r="I2" s="5" t="s">
        <v>29</v>
      </c>
      <c r="J2" s="6" t="s">
        <v>30</v>
      </c>
      <c r="K2" s="8" t="s">
        <v>32</v>
      </c>
      <c r="L2" s="6" t="s">
        <v>34</v>
      </c>
      <c r="M2" s="11" t="str">
        <f t="shared" ref="M2:M4" si="1">K2</f>
        <v>24/02/2023</v>
      </c>
      <c r="N2" s="5" t="s">
        <v>40</v>
      </c>
      <c r="O2" s="12" t="s">
        <v>41</v>
      </c>
      <c r="P2" s="5"/>
      <c r="Q2" s="6" t="s">
        <v>42</v>
      </c>
      <c r="R2" s="6"/>
      <c r="S2" s="6"/>
      <c r="T2" s="6"/>
      <c r="U2" s="6"/>
      <c r="V2" s="6"/>
      <c r="W2" s="6"/>
      <c r="X2" s="6"/>
      <c r="Y2" s="6"/>
      <c r="Z2" s="6"/>
    </row>
    <row r="3" hidden="1">
      <c r="A3" s="4">
        <v>2.0</v>
      </c>
      <c r="B3" s="4"/>
      <c r="C3" s="5" t="s">
        <v>43</v>
      </c>
      <c r="D3" s="5"/>
      <c r="E3" s="5"/>
      <c r="F3" s="5"/>
      <c r="G3" s="5" t="s">
        <v>44</v>
      </c>
      <c r="H3" s="5" t="s">
        <v>45</v>
      </c>
      <c r="I3" s="5" t="s">
        <v>29</v>
      </c>
      <c r="J3" s="6" t="s">
        <v>46</v>
      </c>
      <c r="K3" s="8" t="s">
        <v>47</v>
      </c>
      <c r="L3" s="6" t="s">
        <v>34</v>
      </c>
      <c r="M3" s="11" t="str">
        <f t="shared" si="1"/>
        <v>27/5/2022</v>
      </c>
      <c r="N3" s="5" t="s">
        <v>40</v>
      </c>
      <c r="O3" s="12" t="s">
        <v>41</v>
      </c>
      <c r="P3" s="5" t="s">
        <v>48</v>
      </c>
      <c r="Q3" s="6" t="s">
        <v>42</v>
      </c>
      <c r="R3" s="6"/>
      <c r="S3" s="6"/>
      <c r="T3" s="6"/>
      <c r="U3" s="6"/>
      <c r="V3" s="6"/>
      <c r="W3" s="6"/>
      <c r="X3" s="6"/>
      <c r="Y3" s="6"/>
      <c r="Z3" s="6"/>
    </row>
    <row r="4" hidden="1">
      <c r="A4" s="4">
        <v>3.0</v>
      </c>
      <c r="B4" s="4"/>
      <c r="C4" s="5" t="s">
        <v>49</v>
      </c>
      <c r="D4" s="5"/>
      <c r="E4" s="5"/>
      <c r="F4" s="5"/>
      <c r="G4" s="5" t="s">
        <v>50</v>
      </c>
      <c r="H4" s="5"/>
      <c r="I4" s="5" t="s">
        <v>29</v>
      </c>
      <c r="J4" s="6" t="s">
        <v>46</v>
      </c>
      <c r="K4" s="8" t="s">
        <v>47</v>
      </c>
      <c r="L4" s="6" t="s">
        <v>34</v>
      </c>
      <c r="M4" s="11" t="str">
        <f t="shared" si="1"/>
        <v>27/5/2022</v>
      </c>
      <c r="N4" s="5" t="s">
        <v>40</v>
      </c>
      <c r="O4" s="12" t="s">
        <v>41</v>
      </c>
      <c r="P4" s="5" t="s">
        <v>51</v>
      </c>
      <c r="Q4" s="6" t="s">
        <v>42</v>
      </c>
      <c r="R4" s="6"/>
      <c r="S4" s="6"/>
      <c r="T4" s="6"/>
      <c r="U4" s="6"/>
      <c r="V4" s="6"/>
      <c r="W4" s="6"/>
      <c r="X4" s="6"/>
      <c r="Y4" s="6"/>
      <c r="Z4" s="6"/>
    </row>
    <row r="5" hidden="1">
      <c r="A5" s="4">
        <v>4.0</v>
      </c>
      <c r="B5" s="4"/>
      <c r="C5" s="6" t="s">
        <v>52</v>
      </c>
      <c r="D5" s="6"/>
      <c r="E5" s="6"/>
      <c r="F5" s="6"/>
      <c r="G5" s="6" t="s">
        <v>53</v>
      </c>
      <c r="H5" s="6"/>
      <c r="I5" s="6" t="s">
        <v>29</v>
      </c>
      <c r="J5" s="6"/>
      <c r="K5" s="11"/>
      <c r="L5" s="6"/>
      <c r="M5" s="11"/>
      <c r="N5" s="6" t="s">
        <v>54</v>
      </c>
      <c r="O5" s="17" t="s">
        <v>55</v>
      </c>
      <c r="P5" s="6" t="s">
        <v>56</v>
      </c>
      <c r="Q5" s="6" t="s">
        <v>42</v>
      </c>
      <c r="R5" s="6"/>
      <c r="S5" s="6"/>
      <c r="T5" s="6"/>
      <c r="U5" s="6"/>
      <c r="V5" s="6"/>
      <c r="W5" s="6"/>
      <c r="X5" s="6"/>
      <c r="Y5" s="6"/>
      <c r="Z5" s="6"/>
    </row>
    <row r="6" hidden="1">
      <c r="A6" s="4">
        <v>5.0</v>
      </c>
      <c r="B6" s="4"/>
      <c r="C6" s="6" t="s">
        <v>57</v>
      </c>
      <c r="D6" s="6"/>
      <c r="E6" s="6"/>
      <c r="F6" s="6"/>
      <c r="G6" s="6" t="s">
        <v>58</v>
      </c>
      <c r="H6" s="6"/>
      <c r="I6" s="6" t="s">
        <v>29</v>
      </c>
      <c r="J6" s="6" t="s">
        <v>30</v>
      </c>
      <c r="K6" s="8" t="s">
        <v>32</v>
      </c>
      <c r="L6" s="6" t="s">
        <v>34</v>
      </c>
      <c r="M6" s="11" t="str">
        <f t="shared" ref="M6:M7" si="2">K6</f>
        <v>24/02/2023</v>
      </c>
      <c r="N6" s="6" t="s">
        <v>54</v>
      </c>
      <c r="O6" s="17" t="s">
        <v>55</v>
      </c>
      <c r="P6" s="6" t="s">
        <v>61</v>
      </c>
      <c r="Q6" s="6" t="s">
        <v>42</v>
      </c>
      <c r="R6" s="6"/>
      <c r="S6" s="6"/>
      <c r="T6" s="6"/>
      <c r="U6" s="6"/>
      <c r="V6" s="6"/>
      <c r="W6" s="6"/>
      <c r="X6" s="6"/>
      <c r="Y6" s="6"/>
      <c r="Z6" s="6"/>
    </row>
    <row r="7" hidden="1">
      <c r="A7" s="4">
        <v>6.0</v>
      </c>
      <c r="B7" s="4"/>
      <c r="C7" s="6" t="s">
        <v>65</v>
      </c>
      <c r="D7" s="6"/>
      <c r="E7" s="6"/>
      <c r="F7" s="6"/>
      <c r="G7" s="6" t="s">
        <v>68</v>
      </c>
      <c r="H7" s="6" t="s">
        <v>69</v>
      </c>
      <c r="I7" s="6" t="s">
        <v>29</v>
      </c>
      <c r="J7" s="6" t="s">
        <v>70</v>
      </c>
      <c r="K7" s="8" t="s">
        <v>71</v>
      </c>
      <c r="L7" s="6" t="s">
        <v>34</v>
      </c>
      <c r="M7" s="11" t="str">
        <f t="shared" si="2"/>
        <v>29/9/2022</v>
      </c>
      <c r="N7" s="6" t="s">
        <v>54</v>
      </c>
      <c r="O7" s="17" t="s">
        <v>55</v>
      </c>
      <c r="P7" s="6" t="s">
        <v>72</v>
      </c>
      <c r="Q7" s="6" t="s">
        <v>42</v>
      </c>
      <c r="R7" s="6"/>
      <c r="S7" s="6"/>
      <c r="T7" s="6"/>
      <c r="U7" s="6"/>
      <c r="V7" s="6"/>
      <c r="W7" s="6"/>
      <c r="X7" s="6"/>
      <c r="Y7" s="6"/>
      <c r="Z7" s="6"/>
    </row>
    <row r="8" hidden="1">
      <c r="A8" s="4">
        <v>7.0</v>
      </c>
      <c r="B8" s="9"/>
      <c r="C8" s="19" t="s">
        <v>74</v>
      </c>
      <c r="D8" s="19"/>
      <c r="E8" s="19"/>
      <c r="F8" s="19"/>
      <c r="G8" s="13"/>
      <c r="H8" s="13"/>
      <c r="I8" s="19" t="s">
        <v>75</v>
      </c>
      <c r="J8" s="13"/>
      <c r="K8" s="15"/>
      <c r="L8" s="13" t="s">
        <v>34</v>
      </c>
      <c r="M8" s="11"/>
      <c r="N8" s="13"/>
      <c r="O8" s="13"/>
      <c r="P8" s="13"/>
      <c r="Q8" s="13"/>
      <c r="R8" s="13" t="s">
        <v>76</v>
      </c>
      <c r="S8" s="13"/>
      <c r="T8" s="13"/>
      <c r="U8" s="13"/>
      <c r="V8" s="13"/>
      <c r="W8" s="13"/>
      <c r="X8" s="13"/>
      <c r="Y8" s="13"/>
      <c r="Z8" s="13"/>
    </row>
    <row r="9" hidden="1">
      <c r="A9" s="4">
        <v>8.0</v>
      </c>
      <c r="B9" s="9"/>
      <c r="C9" s="19" t="s">
        <v>77</v>
      </c>
      <c r="D9" s="19"/>
      <c r="E9" s="19"/>
      <c r="F9" s="19"/>
      <c r="G9" s="13"/>
      <c r="H9" s="13"/>
      <c r="I9" s="19" t="s">
        <v>75</v>
      </c>
      <c r="J9" s="13"/>
      <c r="K9" s="15"/>
      <c r="L9" s="13" t="s">
        <v>34</v>
      </c>
      <c r="M9" s="11"/>
      <c r="N9" s="13"/>
      <c r="O9" s="13"/>
      <c r="P9" s="13"/>
      <c r="Q9" s="13"/>
      <c r="R9" s="13" t="s">
        <v>76</v>
      </c>
      <c r="S9" s="13"/>
      <c r="T9" s="13"/>
      <c r="U9" s="13"/>
      <c r="V9" s="13"/>
      <c r="W9" s="13"/>
      <c r="X9" s="13"/>
      <c r="Y9" s="13"/>
      <c r="Z9" s="13"/>
    </row>
    <row r="10" hidden="1">
      <c r="A10" s="4">
        <v>9.0</v>
      </c>
      <c r="B10" s="9"/>
      <c r="C10" s="19" t="s">
        <v>79</v>
      </c>
      <c r="D10" s="19"/>
      <c r="E10" s="19"/>
      <c r="F10" s="19"/>
      <c r="G10" s="13"/>
      <c r="H10" s="13"/>
      <c r="I10" s="19" t="s">
        <v>75</v>
      </c>
      <c r="J10" s="13"/>
      <c r="K10" s="15"/>
      <c r="L10" s="13" t="s">
        <v>34</v>
      </c>
      <c r="M10" s="11"/>
      <c r="N10" s="13"/>
      <c r="O10" s="13"/>
      <c r="P10" s="13"/>
      <c r="Q10" s="13"/>
      <c r="R10" s="13" t="s">
        <v>76</v>
      </c>
      <c r="S10" s="13"/>
      <c r="T10" s="13"/>
      <c r="U10" s="13"/>
      <c r="V10" s="13"/>
      <c r="W10" s="13"/>
      <c r="X10" s="13"/>
      <c r="Y10" s="13"/>
      <c r="Z10" s="13"/>
    </row>
    <row r="11" hidden="1">
      <c r="A11" s="4">
        <v>10.0</v>
      </c>
      <c r="B11" s="9"/>
      <c r="C11" s="19" t="s">
        <v>80</v>
      </c>
      <c r="D11" s="19"/>
      <c r="E11" s="19"/>
      <c r="F11" s="19"/>
      <c r="G11" s="13"/>
      <c r="H11" s="13"/>
      <c r="I11" s="19" t="s">
        <v>81</v>
      </c>
      <c r="J11" s="13"/>
      <c r="K11" s="15"/>
      <c r="L11" s="13" t="s">
        <v>34</v>
      </c>
      <c r="M11" s="11"/>
      <c r="N11" s="13"/>
      <c r="O11" s="13"/>
      <c r="P11" s="13"/>
      <c r="Q11" s="13"/>
      <c r="R11" s="13" t="s">
        <v>76</v>
      </c>
      <c r="S11" s="13"/>
      <c r="T11" s="13"/>
      <c r="U11" s="13"/>
      <c r="V11" s="13"/>
      <c r="W11" s="13"/>
      <c r="X11" s="13"/>
      <c r="Y11" s="13"/>
      <c r="Z11" s="13"/>
    </row>
    <row r="12" hidden="1">
      <c r="A12" s="4">
        <v>11.0</v>
      </c>
      <c r="B12" s="9"/>
      <c r="C12" s="19" t="s">
        <v>85</v>
      </c>
      <c r="D12" s="19"/>
      <c r="E12" s="19"/>
      <c r="F12" s="19"/>
      <c r="G12" s="13"/>
      <c r="H12" s="13"/>
      <c r="I12" s="19" t="s">
        <v>86</v>
      </c>
      <c r="J12" s="13" t="s">
        <v>70</v>
      </c>
      <c r="K12" s="14" t="s">
        <v>71</v>
      </c>
      <c r="L12" s="13" t="s">
        <v>87</v>
      </c>
      <c r="M12" s="11" t="str">
        <f t="shared" ref="M12:M17" si="3">K12</f>
        <v>29/9/2022</v>
      </c>
      <c r="N12" s="13"/>
      <c r="O12" s="13"/>
      <c r="P12" s="13"/>
      <c r="Q12" s="13"/>
      <c r="R12" s="13" t="s">
        <v>76</v>
      </c>
      <c r="S12" s="13"/>
      <c r="T12" s="13"/>
      <c r="U12" s="13"/>
      <c r="V12" s="13"/>
      <c r="W12" s="13"/>
      <c r="X12" s="13"/>
      <c r="Y12" s="13"/>
      <c r="Z12" s="13"/>
    </row>
    <row r="13" hidden="1">
      <c r="A13" s="4">
        <v>12.0</v>
      </c>
      <c r="B13" s="4"/>
      <c r="C13" s="6" t="s">
        <v>89</v>
      </c>
      <c r="D13" s="6"/>
      <c r="E13" s="6"/>
      <c r="F13" s="6"/>
      <c r="G13" s="6" t="s">
        <v>90</v>
      </c>
      <c r="H13" s="6"/>
      <c r="I13" s="6" t="s">
        <v>91</v>
      </c>
      <c r="J13" s="6" t="s">
        <v>70</v>
      </c>
      <c r="K13" s="8" t="s">
        <v>71</v>
      </c>
      <c r="L13" s="6" t="s">
        <v>92</v>
      </c>
      <c r="M13" s="11" t="str">
        <f t="shared" si="3"/>
        <v>29/9/2022</v>
      </c>
      <c r="N13" s="6" t="s">
        <v>54</v>
      </c>
      <c r="O13" s="17" t="s">
        <v>55</v>
      </c>
      <c r="P13" s="6" t="s">
        <v>93</v>
      </c>
      <c r="Q13" s="6" t="s">
        <v>42</v>
      </c>
      <c r="R13" s="6"/>
      <c r="S13" s="6"/>
      <c r="T13" s="6"/>
      <c r="U13" s="6"/>
      <c r="V13" s="6"/>
      <c r="W13" s="6"/>
      <c r="X13" s="6"/>
      <c r="Y13" s="6"/>
      <c r="Z13" s="6"/>
    </row>
    <row r="14" hidden="1">
      <c r="A14" s="4">
        <v>13.0</v>
      </c>
      <c r="B14" s="4"/>
      <c r="C14" s="6" t="s">
        <v>95</v>
      </c>
      <c r="D14" s="6"/>
      <c r="E14" s="6"/>
      <c r="F14" s="6"/>
      <c r="G14" s="6" t="s">
        <v>96</v>
      </c>
      <c r="H14" s="6" t="s">
        <v>98</v>
      </c>
      <c r="I14" s="6" t="s">
        <v>91</v>
      </c>
      <c r="J14" s="6" t="s">
        <v>70</v>
      </c>
      <c r="K14" s="8" t="s">
        <v>71</v>
      </c>
      <c r="L14" s="6" t="s">
        <v>92</v>
      </c>
      <c r="M14" s="11" t="str">
        <f t="shared" si="3"/>
        <v>29/9/2022</v>
      </c>
      <c r="N14" s="6" t="s">
        <v>54</v>
      </c>
      <c r="O14" s="17" t="s">
        <v>55</v>
      </c>
      <c r="P14" s="6" t="s">
        <v>102</v>
      </c>
      <c r="Q14" s="6" t="s">
        <v>42</v>
      </c>
      <c r="R14" s="6"/>
      <c r="S14" s="6"/>
      <c r="T14" s="6"/>
      <c r="U14" s="6"/>
      <c r="V14" s="6"/>
      <c r="W14" s="6"/>
      <c r="X14" s="6"/>
      <c r="Y14" s="6"/>
      <c r="Z14" s="6"/>
    </row>
    <row r="15" hidden="1">
      <c r="A15" s="4">
        <v>14.0</v>
      </c>
      <c r="B15" s="4"/>
      <c r="C15" s="13" t="s">
        <v>103</v>
      </c>
      <c r="D15" s="13"/>
      <c r="E15" s="13"/>
      <c r="F15" s="13"/>
      <c r="G15" s="6" t="s">
        <v>104</v>
      </c>
      <c r="H15" s="6" t="s">
        <v>45</v>
      </c>
      <c r="I15" s="6" t="s">
        <v>91</v>
      </c>
      <c r="J15" s="6" t="s">
        <v>70</v>
      </c>
      <c r="K15" s="8" t="s">
        <v>71</v>
      </c>
      <c r="L15" s="6" t="s">
        <v>92</v>
      </c>
      <c r="M15" s="11" t="str">
        <f t="shared" si="3"/>
        <v>29/9/2022</v>
      </c>
      <c r="N15" s="6" t="s">
        <v>54</v>
      </c>
      <c r="O15" s="17" t="s">
        <v>55</v>
      </c>
      <c r="P15" s="6" t="s">
        <v>108</v>
      </c>
      <c r="Q15" s="6" t="s">
        <v>42</v>
      </c>
      <c r="R15" s="6"/>
      <c r="S15" s="6"/>
      <c r="T15" s="6"/>
      <c r="U15" s="6"/>
      <c r="V15" s="6"/>
      <c r="W15" s="6"/>
      <c r="X15" s="6"/>
      <c r="Y15" s="6"/>
      <c r="Z15" s="6"/>
    </row>
    <row r="16" hidden="1">
      <c r="A16" s="4">
        <v>15.0</v>
      </c>
      <c r="B16" s="4"/>
      <c r="C16" s="6" t="s">
        <v>112</v>
      </c>
      <c r="D16" s="6"/>
      <c r="E16" s="6"/>
      <c r="F16" s="6"/>
      <c r="G16" s="6" t="s">
        <v>114</v>
      </c>
      <c r="H16" s="6" t="s">
        <v>115</v>
      </c>
      <c r="I16" s="6" t="s">
        <v>91</v>
      </c>
      <c r="J16" s="6" t="s">
        <v>70</v>
      </c>
      <c r="K16" s="8" t="s">
        <v>71</v>
      </c>
      <c r="L16" s="6" t="s">
        <v>92</v>
      </c>
      <c r="M16" s="11" t="str">
        <f t="shared" si="3"/>
        <v>29/9/2022</v>
      </c>
      <c r="N16" s="6" t="s">
        <v>54</v>
      </c>
      <c r="O16" s="17" t="s">
        <v>55</v>
      </c>
      <c r="P16" s="6" t="s">
        <v>116</v>
      </c>
      <c r="Q16" s="6" t="s">
        <v>42</v>
      </c>
      <c r="R16" s="6"/>
      <c r="S16" s="6"/>
      <c r="T16" s="6"/>
      <c r="U16" s="6"/>
      <c r="V16" s="6"/>
      <c r="W16" s="6"/>
      <c r="X16" s="6"/>
      <c r="Y16" s="6"/>
      <c r="Z16" s="6"/>
    </row>
    <row r="17" hidden="1">
      <c r="A17" s="4">
        <v>16.0</v>
      </c>
      <c r="B17" s="4"/>
      <c r="C17" s="6" t="s">
        <v>120</v>
      </c>
      <c r="D17" s="6"/>
      <c r="E17" s="6"/>
      <c r="F17" s="6"/>
      <c r="G17" s="6" t="s">
        <v>121</v>
      </c>
      <c r="H17" s="6" t="s">
        <v>122</v>
      </c>
      <c r="I17" s="6" t="s">
        <v>91</v>
      </c>
      <c r="J17" s="6" t="s">
        <v>70</v>
      </c>
      <c r="K17" s="8" t="s">
        <v>71</v>
      </c>
      <c r="L17" s="6" t="s">
        <v>92</v>
      </c>
      <c r="M17" s="11" t="str">
        <f t="shared" si="3"/>
        <v>29/9/2022</v>
      </c>
      <c r="N17" s="6" t="s">
        <v>54</v>
      </c>
      <c r="O17" s="17" t="s">
        <v>55</v>
      </c>
      <c r="P17" s="6" t="s">
        <v>124</v>
      </c>
      <c r="Q17" s="6" t="s">
        <v>42</v>
      </c>
      <c r="R17" s="6"/>
      <c r="S17" s="6"/>
      <c r="T17" s="6"/>
      <c r="U17" s="6"/>
      <c r="V17" s="6"/>
      <c r="W17" s="6"/>
      <c r="X17" s="6"/>
      <c r="Y17" s="6"/>
      <c r="Z17" s="6"/>
    </row>
    <row r="18" hidden="1">
      <c r="A18" s="4">
        <v>17.0</v>
      </c>
      <c r="B18" s="4"/>
      <c r="C18" s="6" t="s">
        <v>125</v>
      </c>
      <c r="D18" s="6"/>
      <c r="E18" s="6"/>
      <c r="F18" s="6"/>
      <c r="G18" s="6"/>
      <c r="H18" s="6" t="s">
        <v>115</v>
      </c>
      <c r="I18" s="6" t="s">
        <v>86</v>
      </c>
      <c r="J18" s="6"/>
      <c r="K18" s="11"/>
      <c r="L18" s="6"/>
      <c r="M18" s="11"/>
      <c r="N18" s="5" t="s">
        <v>40</v>
      </c>
      <c r="O18" s="12" t="s">
        <v>41</v>
      </c>
      <c r="P18" s="5" t="s">
        <v>145</v>
      </c>
      <c r="Q18" s="6" t="s">
        <v>42</v>
      </c>
      <c r="R18" s="6"/>
      <c r="S18" s="6"/>
      <c r="T18" s="6"/>
      <c r="U18" s="6"/>
      <c r="V18" s="6"/>
      <c r="W18" s="6"/>
      <c r="X18" s="6"/>
      <c r="Y18" s="6"/>
      <c r="Z18" s="6"/>
    </row>
    <row r="19" ht="18.75" hidden="1" customHeight="1">
      <c r="A19" s="9"/>
      <c r="B19" s="37"/>
      <c r="C19" s="38" t="s">
        <v>151</v>
      </c>
      <c r="D19" s="38"/>
      <c r="E19" s="38"/>
      <c r="F19" s="38"/>
      <c r="G19" s="38" t="s">
        <v>153</v>
      </c>
      <c r="H19" s="38"/>
      <c r="I19" s="38" t="s">
        <v>91</v>
      </c>
      <c r="J19" s="38"/>
      <c r="K19" s="38"/>
      <c r="L19" s="39"/>
      <c r="M19" s="38"/>
      <c r="N19" s="5" t="s">
        <v>40</v>
      </c>
      <c r="O19" s="12" t="s">
        <v>41</v>
      </c>
      <c r="P19" s="5" t="s">
        <v>157</v>
      </c>
      <c r="Q19" s="6" t="s">
        <v>42</v>
      </c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4">
        <v>18.0</v>
      </c>
      <c r="B20" s="29"/>
      <c r="C20" s="30" t="s">
        <v>131</v>
      </c>
      <c r="D20" s="30"/>
      <c r="E20" s="30"/>
      <c r="F20" s="30"/>
      <c r="G20" s="30" t="s">
        <v>132</v>
      </c>
      <c r="H20" s="30" t="s">
        <v>122</v>
      </c>
      <c r="I20" s="30" t="s">
        <v>133</v>
      </c>
      <c r="J20" s="30" t="s">
        <v>70</v>
      </c>
      <c r="K20" s="31" t="s">
        <v>71</v>
      </c>
      <c r="L20" s="30" t="s">
        <v>135</v>
      </c>
      <c r="M20" s="11" t="str">
        <f>K20</f>
        <v>29/9/2022</v>
      </c>
      <c r="N20" s="30" t="s">
        <v>54</v>
      </c>
      <c r="O20" s="32" t="s">
        <v>55</v>
      </c>
      <c r="P20" s="30" t="s">
        <v>138</v>
      </c>
      <c r="Q20" s="30" t="s">
        <v>42</v>
      </c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4">
        <v>19.0</v>
      </c>
      <c r="B21" s="29"/>
      <c r="C21" s="30" t="s">
        <v>141</v>
      </c>
      <c r="D21" s="30"/>
      <c r="E21" s="30"/>
      <c r="F21" s="30"/>
      <c r="G21" s="30" t="s">
        <v>142</v>
      </c>
      <c r="H21" s="30"/>
      <c r="I21" s="30" t="s">
        <v>133</v>
      </c>
      <c r="J21" s="30"/>
      <c r="K21" s="36"/>
      <c r="L21" s="30"/>
      <c r="M21" s="11"/>
      <c r="N21" s="30" t="s">
        <v>54</v>
      </c>
      <c r="O21" s="32" t="s">
        <v>55</v>
      </c>
      <c r="P21" s="30" t="s">
        <v>144</v>
      </c>
      <c r="Q21" s="30" t="s">
        <v>42</v>
      </c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4">
        <v>20.0</v>
      </c>
      <c r="B22" s="29"/>
      <c r="C22" s="30" t="s">
        <v>147</v>
      </c>
      <c r="D22" s="30"/>
      <c r="E22" s="30"/>
      <c r="F22" s="30"/>
      <c r="G22" s="30" t="s">
        <v>150</v>
      </c>
      <c r="H22" s="30" t="s">
        <v>98</v>
      </c>
      <c r="I22" s="30" t="s">
        <v>133</v>
      </c>
      <c r="J22" s="30"/>
      <c r="K22" s="36"/>
      <c r="L22" s="30"/>
      <c r="M22" s="11"/>
      <c r="N22" s="30" t="s">
        <v>54</v>
      </c>
      <c r="O22" s="32" t="s">
        <v>55</v>
      </c>
      <c r="P22" s="30" t="s">
        <v>152</v>
      </c>
      <c r="Q22" s="30" t="s">
        <v>42</v>
      </c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4">
        <v>21.0</v>
      </c>
      <c r="B23" s="29"/>
      <c r="C23" s="30" t="s">
        <v>156</v>
      </c>
      <c r="D23" s="30"/>
      <c r="E23" s="30"/>
      <c r="F23" s="30"/>
      <c r="G23" s="30" t="s">
        <v>158</v>
      </c>
      <c r="H23" s="30" t="s">
        <v>115</v>
      </c>
      <c r="I23" s="30" t="s">
        <v>133</v>
      </c>
      <c r="J23" s="30"/>
      <c r="K23" s="36"/>
      <c r="L23" s="30"/>
      <c r="M23" s="11"/>
      <c r="N23" s="30" t="s">
        <v>54</v>
      </c>
      <c r="O23" s="32" t="s">
        <v>55</v>
      </c>
      <c r="P23" s="30" t="s">
        <v>160</v>
      </c>
      <c r="Q23" s="30" t="s">
        <v>42</v>
      </c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4">
        <v>22.0</v>
      </c>
      <c r="B24" s="29"/>
      <c r="C24" s="30" t="s">
        <v>162</v>
      </c>
      <c r="D24" s="30"/>
      <c r="E24" s="30"/>
      <c r="F24" s="30"/>
      <c r="G24" s="30" t="s">
        <v>163</v>
      </c>
      <c r="H24" s="30"/>
      <c r="I24" s="30" t="s">
        <v>83</v>
      </c>
      <c r="J24" s="30" t="s">
        <v>30</v>
      </c>
      <c r="K24" s="31" t="s">
        <v>32</v>
      </c>
      <c r="L24" s="30" t="s">
        <v>84</v>
      </c>
      <c r="M24" s="11" t="str">
        <f t="shared" ref="M24:M27" si="4">K24</f>
        <v>24/02/2023</v>
      </c>
      <c r="N24" s="30" t="s">
        <v>54</v>
      </c>
      <c r="O24" s="32" t="s">
        <v>55</v>
      </c>
      <c r="P24" s="30" t="s">
        <v>165</v>
      </c>
      <c r="Q24" s="30" t="s">
        <v>42</v>
      </c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4">
        <v>23.0</v>
      </c>
      <c r="B25" s="29"/>
      <c r="C25" s="30" t="s">
        <v>167</v>
      </c>
      <c r="D25" s="30"/>
      <c r="E25" s="30"/>
      <c r="F25" s="30"/>
      <c r="G25" s="30" t="s">
        <v>168</v>
      </c>
      <c r="H25" s="30" t="s">
        <v>115</v>
      </c>
      <c r="I25" s="30" t="s">
        <v>83</v>
      </c>
      <c r="J25" s="30" t="s">
        <v>30</v>
      </c>
      <c r="K25" s="31" t="s">
        <v>32</v>
      </c>
      <c r="L25" s="30" t="s">
        <v>84</v>
      </c>
      <c r="M25" s="11" t="str">
        <f t="shared" si="4"/>
        <v>24/02/2023</v>
      </c>
      <c r="N25" s="30" t="s">
        <v>54</v>
      </c>
      <c r="O25" s="32" t="s">
        <v>55</v>
      </c>
      <c r="P25" s="30" t="s">
        <v>169</v>
      </c>
      <c r="Q25" s="30" t="s">
        <v>42</v>
      </c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4">
        <v>24.0</v>
      </c>
      <c r="B26" s="29"/>
      <c r="C26" s="30" t="s">
        <v>172</v>
      </c>
      <c r="D26" s="30"/>
      <c r="E26" s="30"/>
      <c r="F26" s="30"/>
      <c r="G26" s="30" t="s">
        <v>173</v>
      </c>
      <c r="H26" s="30"/>
      <c r="I26" s="30" t="s">
        <v>60</v>
      </c>
      <c r="J26" s="30" t="s">
        <v>70</v>
      </c>
      <c r="K26" s="31" t="s">
        <v>71</v>
      </c>
      <c r="L26" s="30" t="s">
        <v>62</v>
      </c>
      <c r="M26" s="11" t="str">
        <f t="shared" si="4"/>
        <v>29/9/2022</v>
      </c>
      <c r="N26" s="30" t="s">
        <v>54</v>
      </c>
      <c r="O26" s="32" t="s">
        <v>55</v>
      </c>
      <c r="P26" s="30" t="s">
        <v>174</v>
      </c>
      <c r="Q26" s="30" t="s">
        <v>42</v>
      </c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4">
        <v>25.0</v>
      </c>
      <c r="B27" s="29"/>
      <c r="C27" s="30" t="s">
        <v>176</v>
      </c>
      <c r="D27" s="30"/>
      <c r="E27" s="30"/>
      <c r="F27" s="30"/>
      <c r="G27" s="30" t="s">
        <v>177</v>
      </c>
      <c r="H27" s="30" t="s">
        <v>45</v>
      </c>
      <c r="I27" s="30" t="s">
        <v>60</v>
      </c>
      <c r="J27" s="30" t="s">
        <v>70</v>
      </c>
      <c r="K27" s="31" t="s">
        <v>71</v>
      </c>
      <c r="L27" s="30" t="s">
        <v>62</v>
      </c>
      <c r="M27" s="11" t="str">
        <f t="shared" si="4"/>
        <v>29/9/2022</v>
      </c>
      <c r="N27" s="30" t="s">
        <v>54</v>
      </c>
      <c r="O27" s="32" t="s">
        <v>55</v>
      </c>
      <c r="P27" s="30" t="s">
        <v>178</v>
      </c>
      <c r="Q27" s="30" t="s">
        <v>42</v>
      </c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4">
        <v>26.0</v>
      </c>
      <c r="B28" s="29"/>
      <c r="C28" s="30" t="s">
        <v>179</v>
      </c>
      <c r="D28" s="30"/>
      <c r="E28" s="30"/>
      <c r="F28" s="30"/>
      <c r="G28" s="30" t="s">
        <v>180</v>
      </c>
      <c r="H28" s="30" t="s">
        <v>115</v>
      </c>
      <c r="I28" s="30" t="s">
        <v>60</v>
      </c>
      <c r="J28" s="30" t="s">
        <v>46</v>
      </c>
      <c r="K28" s="31" t="s">
        <v>47</v>
      </c>
      <c r="L28" s="38" t="s">
        <v>181</v>
      </c>
      <c r="M28" s="14" t="s">
        <v>149</v>
      </c>
      <c r="N28" s="30" t="s">
        <v>54</v>
      </c>
      <c r="O28" s="32" t="s">
        <v>55</v>
      </c>
      <c r="P28" s="30" t="s">
        <v>182</v>
      </c>
      <c r="Q28" s="30" t="s">
        <v>42</v>
      </c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4">
        <v>27.0</v>
      </c>
      <c r="B29" s="37"/>
      <c r="C29" s="38" t="s">
        <v>183</v>
      </c>
      <c r="D29" s="38"/>
      <c r="E29" s="38"/>
      <c r="F29" s="38"/>
      <c r="G29" s="38" t="s">
        <v>184</v>
      </c>
      <c r="H29" s="38" t="s">
        <v>122</v>
      </c>
      <c r="I29" s="38" t="s">
        <v>60</v>
      </c>
      <c r="J29" s="38" t="s">
        <v>46</v>
      </c>
      <c r="K29" s="41" t="s">
        <v>47</v>
      </c>
      <c r="L29" s="38" t="s">
        <v>181</v>
      </c>
      <c r="M29" s="14" t="s">
        <v>149</v>
      </c>
      <c r="N29" s="38" t="s">
        <v>54</v>
      </c>
      <c r="O29" s="42" t="s">
        <v>55</v>
      </c>
      <c r="P29" s="38" t="s">
        <v>186</v>
      </c>
      <c r="Q29" s="38" t="s">
        <v>42</v>
      </c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4">
        <v>28.0</v>
      </c>
      <c r="B30" s="37"/>
      <c r="C30" s="38" t="s">
        <v>188</v>
      </c>
      <c r="D30" s="38"/>
      <c r="E30" s="38"/>
      <c r="F30" s="38"/>
      <c r="G30" s="38" t="s">
        <v>189</v>
      </c>
      <c r="H30" s="38" t="s">
        <v>190</v>
      </c>
      <c r="I30" s="38" t="s">
        <v>60</v>
      </c>
      <c r="J30" s="38" t="s">
        <v>46</v>
      </c>
      <c r="K30" s="41" t="s">
        <v>47</v>
      </c>
      <c r="L30" s="38" t="s">
        <v>181</v>
      </c>
      <c r="M30" s="14" t="s">
        <v>149</v>
      </c>
      <c r="N30" s="38" t="s">
        <v>54</v>
      </c>
      <c r="O30" s="42" t="s">
        <v>55</v>
      </c>
      <c r="P30" s="38" t="s">
        <v>191</v>
      </c>
      <c r="Q30" s="38" t="s">
        <v>42</v>
      </c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4">
        <v>29.0</v>
      </c>
      <c r="B31" s="29"/>
      <c r="C31" s="30" t="s">
        <v>192</v>
      </c>
      <c r="D31" s="30"/>
      <c r="E31" s="30"/>
      <c r="F31" s="30"/>
      <c r="G31" s="30" t="s">
        <v>193</v>
      </c>
      <c r="H31" s="30"/>
      <c r="I31" s="30" t="s">
        <v>97</v>
      </c>
      <c r="J31" s="30" t="s">
        <v>30</v>
      </c>
      <c r="K31" s="31" t="s">
        <v>32</v>
      </c>
      <c r="L31" s="30" t="s">
        <v>101</v>
      </c>
      <c r="M31" s="11" t="str">
        <f t="shared" ref="M31:M50" si="5">K31</f>
        <v>24/02/2023</v>
      </c>
      <c r="N31" s="30" t="s">
        <v>54</v>
      </c>
      <c r="O31" s="32" t="s">
        <v>55</v>
      </c>
      <c r="P31" s="30" t="s">
        <v>194</v>
      </c>
      <c r="Q31" s="30" t="s">
        <v>42</v>
      </c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4">
        <v>30.0</v>
      </c>
      <c r="B32" s="29"/>
      <c r="C32" s="30" t="s">
        <v>195</v>
      </c>
      <c r="D32" s="30"/>
      <c r="E32" s="30"/>
      <c r="F32" s="30"/>
      <c r="G32" s="30" t="s">
        <v>196</v>
      </c>
      <c r="H32" s="30" t="s">
        <v>98</v>
      </c>
      <c r="I32" s="30" t="s">
        <v>97</v>
      </c>
      <c r="J32" s="30" t="s">
        <v>30</v>
      </c>
      <c r="K32" s="31" t="s">
        <v>32</v>
      </c>
      <c r="L32" s="30" t="s">
        <v>101</v>
      </c>
      <c r="M32" s="11" t="str">
        <f t="shared" si="5"/>
        <v>24/02/2023</v>
      </c>
      <c r="N32" s="30" t="s">
        <v>54</v>
      </c>
      <c r="O32" s="32" t="s">
        <v>55</v>
      </c>
      <c r="P32" s="30" t="s">
        <v>197</v>
      </c>
      <c r="Q32" s="30" t="s">
        <v>42</v>
      </c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4">
        <v>31.0</v>
      </c>
      <c r="B33" s="29"/>
      <c r="C33" s="30" t="s">
        <v>198</v>
      </c>
      <c r="D33" s="30"/>
      <c r="E33" s="30"/>
      <c r="F33" s="30"/>
      <c r="G33" s="30" t="s">
        <v>199</v>
      </c>
      <c r="H33" s="30" t="s">
        <v>190</v>
      </c>
      <c r="I33" s="30" t="s">
        <v>97</v>
      </c>
      <c r="J33" s="30" t="s">
        <v>46</v>
      </c>
      <c r="K33" s="36" t="s">
        <v>47</v>
      </c>
      <c r="L33" s="30" t="s">
        <v>101</v>
      </c>
      <c r="M33" s="11" t="str">
        <f t="shared" si="5"/>
        <v>27/5/2022</v>
      </c>
      <c r="N33" s="30" t="s">
        <v>54</v>
      </c>
      <c r="O33" s="32" t="s">
        <v>55</v>
      </c>
      <c r="P33" s="30" t="s">
        <v>200</v>
      </c>
      <c r="Q33" s="30" t="s">
        <v>42</v>
      </c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4">
        <v>32.0</v>
      </c>
      <c r="B34" s="29"/>
      <c r="C34" s="30" t="s">
        <v>201</v>
      </c>
      <c r="D34" s="30"/>
      <c r="E34" s="30"/>
      <c r="F34" s="30"/>
      <c r="G34" s="30" t="s">
        <v>202</v>
      </c>
      <c r="H34" s="30" t="s">
        <v>122</v>
      </c>
      <c r="I34" s="30" t="s">
        <v>97</v>
      </c>
      <c r="J34" s="30" t="s">
        <v>46</v>
      </c>
      <c r="K34" s="31" t="s">
        <v>47</v>
      </c>
      <c r="L34" s="30" t="s">
        <v>101</v>
      </c>
      <c r="M34" s="11" t="str">
        <f t="shared" si="5"/>
        <v>27/5/2022</v>
      </c>
      <c r="N34" s="30" t="s">
        <v>54</v>
      </c>
      <c r="O34" s="32" t="s">
        <v>55</v>
      </c>
      <c r="P34" s="30" t="s">
        <v>203</v>
      </c>
      <c r="Q34" s="30" t="s">
        <v>42</v>
      </c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4">
        <v>33.0</v>
      </c>
      <c r="B35" s="6">
        <v>1.0</v>
      </c>
      <c r="C35" s="43" t="s">
        <v>204</v>
      </c>
      <c r="D35" s="43"/>
      <c r="E35" s="6"/>
      <c r="F35" s="6"/>
      <c r="G35" s="6"/>
      <c r="H35" s="6"/>
      <c r="I35" s="6" t="s">
        <v>60</v>
      </c>
      <c r="J35" s="6" t="s">
        <v>46</v>
      </c>
      <c r="K35" s="8" t="s">
        <v>47</v>
      </c>
      <c r="L35" s="6" t="s">
        <v>205</v>
      </c>
      <c r="M35" s="11" t="str">
        <f t="shared" si="5"/>
        <v>27/5/2022</v>
      </c>
      <c r="N35" s="6"/>
      <c r="O35" s="6"/>
      <c r="P35" s="6"/>
      <c r="Q35" s="6"/>
      <c r="R35" s="6" t="s">
        <v>206</v>
      </c>
      <c r="S35" s="6"/>
      <c r="T35" s="6"/>
      <c r="U35" s="6"/>
      <c r="V35" s="6"/>
      <c r="W35" s="6"/>
      <c r="X35" s="6"/>
      <c r="Y35" s="6"/>
      <c r="Z35" s="6"/>
    </row>
    <row r="36" ht="15.75" customHeight="1">
      <c r="A36" s="4">
        <v>34.0</v>
      </c>
      <c r="B36" s="6">
        <v>2.0</v>
      </c>
      <c r="C36" s="6" t="s">
        <v>207</v>
      </c>
      <c r="D36" s="6"/>
      <c r="E36" s="6"/>
      <c r="F36" s="6"/>
      <c r="G36" s="6"/>
      <c r="H36" s="6"/>
      <c r="I36" s="6" t="s">
        <v>60</v>
      </c>
      <c r="J36" s="6" t="s">
        <v>46</v>
      </c>
      <c r="K36" s="8" t="s">
        <v>47</v>
      </c>
      <c r="L36" s="6" t="s">
        <v>205</v>
      </c>
      <c r="M36" s="11" t="str">
        <f t="shared" si="5"/>
        <v>27/5/2022</v>
      </c>
      <c r="N36" s="6"/>
      <c r="O36" s="6"/>
      <c r="P36" s="6"/>
      <c r="Q36" s="6"/>
      <c r="R36" s="6" t="s">
        <v>206</v>
      </c>
      <c r="S36" s="6"/>
      <c r="T36" s="6"/>
      <c r="U36" s="6"/>
      <c r="V36" s="6"/>
      <c r="W36" s="6"/>
      <c r="X36" s="6"/>
      <c r="Y36" s="6"/>
      <c r="Z36" s="6"/>
    </row>
    <row r="37" ht="15.75" customHeight="1">
      <c r="A37" s="4">
        <v>35.0</v>
      </c>
      <c r="B37" s="6">
        <v>3.0</v>
      </c>
      <c r="C37" s="6" t="s">
        <v>208</v>
      </c>
      <c r="D37" s="6"/>
      <c r="E37" s="6"/>
      <c r="F37" s="6"/>
      <c r="G37" s="6"/>
      <c r="H37" s="6"/>
      <c r="I37" s="6" t="s">
        <v>60</v>
      </c>
      <c r="J37" s="6" t="s">
        <v>46</v>
      </c>
      <c r="K37" s="8" t="s">
        <v>47</v>
      </c>
      <c r="L37" s="6" t="s">
        <v>205</v>
      </c>
      <c r="M37" s="11" t="str">
        <f t="shared" si="5"/>
        <v>27/5/2022</v>
      </c>
      <c r="N37" s="6"/>
      <c r="O37" s="6"/>
      <c r="P37" s="6"/>
      <c r="Q37" s="6"/>
      <c r="R37" s="6" t="s">
        <v>206</v>
      </c>
      <c r="S37" s="6"/>
      <c r="T37" s="6"/>
      <c r="U37" s="6"/>
      <c r="V37" s="6"/>
      <c r="W37" s="6"/>
      <c r="X37" s="6"/>
      <c r="Y37" s="6"/>
      <c r="Z37" s="6"/>
    </row>
    <row r="38" ht="15.75" customHeight="1">
      <c r="A38" s="4">
        <v>36.0</v>
      </c>
      <c r="B38" s="6">
        <v>4.0</v>
      </c>
      <c r="C38" s="6" t="s">
        <v>209</v>
      </c>
      <c r="D38" s="6"/>
      <c r="E38" s="6"/>
      <c r="F38" s="6"/>
      <c r="G38" s="6"/>
      <c r="H38" s="6"/>
      <c r="I38" s="6" t="s">
        <v>60</v>
      </c>
      <c r="J38" s="6" t="s">
        <v>70</v>
      </c>
      <c r="K38" s="8" t="s">
        <v>71</v>
      </c>
      <c r="L38" s="6" t="s">
        <v>62</v>
      </c>
      <c r="M38" s="11" t="str">
        <f t="shared" si="5"/>
        <v>29/9/2022</v>
      </c>
      <c r="N38" s="6"/>
      <c r="O38" s="6"/>
      <c r="P38" s="6"/>
      <c r="Q38" s="6"/>
      <c r="R38" s="6" t="s">
        <v>206</v>
      </c>
      <c r="S38" s="6"/>
      <c r="T38" s="6"/>
      <c r="U38" s="6"/>
      <c r="V38" s="6"/>
      <c r="W38" s="6"/>
      <c r="X38" s="6"/>
      <c r="Y38" s="6"/>
      <c r="Z38" s="6"/>
    </row>
    <row r="39" ht="15.75" customHeight="1">
      <c r="A39" s="4">
        <v>37.0</v>
      </c>
      <c r="B39" s="44">
        <v>5.0</v>
      </c>
      <c r="C39" s="45" t="s">
        <v>210</v>
      </c>
      <c r="D39" s="45"/>
      <c r="E39" s="44"/>
      <c r="F39" s="44"/>
      <c r="G39" s="44"/>
      <c r="H39" s="44"/>
      <c r="I39" s="44" t="s">
        <v>97</v>
      </c>
      <c r="J39" s="44" t="s">
        <v>46</v>
      </c>
      <c r="K39" s="46" t="s">
        <v>47</v>
      </c>
      <c r="L39" s="44" t="s">
        <v>101</v>
      </c>
      <c r="M39" s="11" t="str">
        <f t="shared" si="5"/>
        <v>27/5/2022</v>
      </c>
      <c r="N39" s="44"/>
      <c r="O39" s="44"/>
      <c r="P39" s="44"/>
      <c r="Q39" s="44"/>
      <c r="R39" s="44" t="s">
        <v>206</v>
      </c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47">
        <v>38.0</v>
      </c>
      <c r="B40" s="44">
        <v>6.0</v>
      </c>
      <c r="C40" s="44" t="s">
        <v>211</v>
      </c>
      <c r="D40" s="44"/>
      <c r="E40" s="44"/>
      <c r="F40" s="44"/>
      <c r="G40" s="44"/>
      <c r="H40" s="44"/>
      <c r="I40" s="44" t="s">
        <v>111</v>
      </c>
      <c r="J40" s="44" t="s">
        <v>30</v>
      </c>
      <c r="K40" s="46" t="s">
        <v>32</v>
      </c>
      <c r="L40" s="48" t="s">
        <v>135</v>
      </c>
      <c r="M40" s="49" t="str">
        <f t="shared" si="5"/>
        <v>24/02/2023</v>
      </c>
      <c r="N40" s="44"/>
      <c r="O40" s="44"/>
      <c r="P40" s="44"/>
      <c r="Q40" s="44"/>
      <c r="R40" s="44" t="s">
        <v>206</v>
      </c>
      <c r="S40" s="44"/>
      <c r="T40" s="44"/>
      <c r="U40" s="44"/>
      <c r="V40" s="44"/>
      <c r="W40" s="44"/>
      <c r="X40" s="44"/>
      <c r="Y40" s="44"/>
      <c r="Z40" s="44"/>
    </row>
    <row r="41" ht="15.75" customHeight="1">
      <c r="A41" s="4">
        <v>39.0</v>
      </c>
      <c r="B41" s="6">
        <v>7.0</v>
      </c>
      <c r="C41" s="6" t="s">
        <v>212</v>
      </c>
      <c r="D41" s="6"/>
      <c r="E41" s="6"/>
      <c r="F41" s="6"/>
      <c r="G41" s="6"/>
      <c r="H41" s="6"/>
      <c r="I41" s="6" t="s">
        <v>133</v>
      </c>
      <c r="J41" s="6" t="s">
        <v>30</v>
      </c>
      <c r="K41" s="8" t="s">
        <v>32</v>
      </c>
      <c r="L41" s="6" t="s">
        <v>135</v>
      </c>
      <c r="M41" s="11" t="str">
        <f t="shared" si="5"/>
        <v>24/02/2023</v>
      </c>
      <c r="N41" s="6"/>
      <c r="O41" s="6"/>
      <c r="P41" s="6"/>
      <c r="Q41" s="6"/>
      <c r="R41" s="6" t="s">
        <v>206</v>
      </c>
      <c r="S41" s="6"/>
      <c r="T41" s="6"/>
      <c r="U41" s="6"/>
      <c r="V41" s="6"/>
      <c r="W41" s="6"/>
      <c r="X41" s="6"/>
      <c r="Y41" s="6"/>
      <c r="Z41" s="6"/>
    </row>
    <row r="42" ht="15.75" customHeight="1">
      <c r="A42" s="4">
        <v>40.0</v>
      </c>
      <c r="B42" s="6">
        <v>8.0</v>
      </c>
      <c r="C42" s="6" t="s">
        <v>213</v>
      </c>
      <c r="D42" s="6"/>
      <c r="E42" s="6"/>
      <c r="F42" s="6"/>
      <c r="G42" s="6"/>
      <c r="H42" s="6"/>
      <c r="I42" s="6" t="s">
        <v>133</v>
      </c>
      <c r="J42" s="6" t="s">
        <v>30</v>
      </c>
      <c r="K42" s="8" t="s">
        <v>32</v>
      </c>
      <c r="L42" s="6" t="s">
        <v>135</v>
      </c>
      <c r="M42" s="11" t="str">
        <f t="shared" si="5"/>
        <v>24/02/2023</v>
      </c>
      <c r="N42" s="6"/>
      <c r="O42" s="6"/>
      <c r="P42" s="6"/>
      <c r="Q42" s="6"/>
      <c r="R42" s="6" t="s">
        <v>206</v>
      </c>
      <c r="S42" s="6"/>
      <c r="T42" s="6"/>
      <c r="U42" s="6"/>
      <c r="V42" s="6"/>
      <c r="W42" s="6"/>
      <c r="X42" s="6"/>
      <c r="Y42" s="6"/>
      <c r="Z42" s="6"/>
    </row>
    <row r="43" ht="15.75" customHeight="1">
      <c r="A43" s="4">
        <v>41.0</v>
      </c>
      <c r="B43" s="6">
        <v>9.0</v>
      </c>
      <c r="C43" s="6" t="s">
        <v>214</v>
      </c>
      <c r="D43" s="6"/>
      <c r="E43" s="6"/>
      <c r="F43" s="6"/>
      <c r="G43" s="6"/>
      <c r="H43" s="6"/>
      <c r="I43" s="6" t="s">
        <v>133</v>
      </c>
      <c r="J43" s="6" t="s">
        <v>30</v>
      </c>
      <c r="K43" s="8" t="s">
        <v>32</v>
      </c>
      <c r="L43" s="6" t="s">
        <v>135</v>
      </c>
      <c r="M43" s="11" t="str">
        <f t="shared" si="5"/>
        <v>24/02/2023</v>
      </c>
      <c r="N43" s="6"/>
      <c r="O43" s="6"/>
      <c r="P43" s="6"/>
      <c r="Q43" s="6"/>
      <c r="R43" s="6" t="s">
        <v>206</v>
      </c>
      <c r="S43" s="6"/>
      <c r="T43" s="6"/>
      <c r="U43" s="6"/>
      <c r="V43" s="6"/>
      <c r="W43" s="6"/>
      <c r="X43" s="6"/>
      <c r="Y43" s="6"/>
      <c r="Z43" s="6"/>
    </row>
    <row r="44" ht="15.75" customHeight="1">
      <c r="A44" s="4">
        <v>42.0</v>
      </c>
      <c r="B44" s="6">
        <v>10.0</v>
      </c>
      <c r="C44" s="6" t="s">
        <v>215</v>
      </c>
      <c r="D44" s="6"/>
      <c r="E44" s="6"/>
      <c r="F44" s="6"/>
      <c r="G44" s="6"/>
      <c r="H44" s="6"/>
      <c r="I44" s="6" t="s">
        <v>133</v>
      </c>
      <c r="J44" s="6" t="s">
        <v>30</v>
      </c>
      <c r="K44" s="8" t="s">
        <v>32</v>
      </c>
      <c r="L44" s="6" t="s">
        <v>135</v>
      </c>
      <c r="M44" s="11" t="str">
        <f t="shared" si="5"/>
        <v>24/02/2023</v>
      </c>
      <c r="N44" s="6"/>
      <c r="O44" s="6"/>
      <c r="P44" s="6"/>
      <c r="Q44" s="6"/>
      <c r="R44" s="6" t="s">
        <v>206</v>
      </c>
      <c r="S44" s="6"/>
      <c r="T44" s="6"/>
      <c r="U44" s="6"/>
      <c r="V44" s="6"/>
      <c r="W44" s="6"/>
      <c r="X44" s="6"/>
      <c r="Y44" s="6"/>
      <c r="Z44" s="6"/>
    </row>
    <row r="45" ht="15.75" customHeight="1">
      <c r="A45" s="4">
        <v>43.0</v>
      </c>
      <c r="B45" s="6">
        <v>11.0</v>
      </c>
      <c r="C45" s="6" t="s">
        <v>216</v>
      </c>
      <c r="D45" s="6"/>
      <c r="E45" s="6"/>
      <c r="F45" s="6"/>
      <c r="G45" s="6"/>
      <c r="H45" s="6"/>
      <c r="I45" s="6" t="s">
        <v>133</v>
      </c>
      <c r="J45" s="6" t="s">
        <v>30</v>
      </c>
      <c r="K45" s="8" t="s">
        <v>32</v>
      </c>
      <c r="L45" s="6" t="s">
        <v>135</v>
      </c>
      <c r="M45" s="11" t="str">
        <f t="shared" si="5"/>
        <v>24/02/2023</v>
      </c>
      <c r="N45" s="6"/>
      <c r="O45" s="6"/>
      <c r="P45" s="6"/>
      <c r="Q45" s="6"/>
      <c r="R45" s="6" t="s">
        <v>206</v>
      </c>
      <c r="S45" s="6"/>
      <c r="T45" s="6"/>
      <c r="U45" s="6"/>
      <c r="V45" s="6"/>
      <c r="W45" s="6"/>
      <c r="X45" s="6"/>
      <c r="Y45" s="6"/>
      <c r="Z45" s="6"/>
    </row>
    <row r="46" ht="15.75" customHeight="1">
      <c r="A46" s="4">
        <v>44.0</v>
      </c>
      <c r="B46" s="6">
        <v>12.0</v>
      </c>
      <c r="C46" s="6" t="s">
        <v>59</v>
      </c>
      <c r="D46" s="6"/>
      <c r="E46" s="6"/>
      <c r="F46" s="6"/>
      <c r="G46" s="6"/>
      <c r="H46" s="6"/>
      <c r="I46" s="6" t="s">
        <v>60</v>
      </c>
      <c r="J46" s="6" t="s">
        <v>30</v>
      </c>
      <c r="K46" s="8" t="s">
        <v>32</v>
      </c>
      <c r="L46" s="6" t="s">
        <v>62</v>
      </c>
      <c r="M46" s="11" t="str">
        <f t="shared" si="5"/>
        <v>24/02/2023</v>
      </c>
      <c r="N46" s="6"/>
      <c r="O46" s="6"/>
      <c r="P46" s="6"/>
      <c r="Q46" s="6"/>
      <c r="R46" s="6" t="s">
        <v>206</v>
      </c>
      <c r="S46" s="6"/>
      <c r="T46" s="6"/>
      <c r="U46" s="6"/>
      <c r="V46" s="6"/>
      <c r="W46" s="6"/>
      <c r="X46" s="6"/>
      <c r="Y46" s="6"/>
      <c r="Z46" s="6"/>
    </row>
    <row r="47" ht="15.75" customHeight="1">
      <c r="A47" s="4">
        <v>45.0</v>
      </c>
      <c r="B47" s="6">
        <v>13.0</v>
      </c>
      <c r="C47" s="6" t="s">
        <v>73</v>
      </c>
      <c r="D47" s="6"/>
      <c r="E47" s="6"/>
      <c r="F47" s="6"/>
      <c r="G47" s="6"/>
      <c r="H47" s="6"/>
      <c r="I47" s="6" t="s">
        <v>60</v>
      </c>
      <c r="J47" s="6" t="s">
        <v>30</v>
      </c>
      <c r="K47" s="8" t="s">
        <v>32</v>
      </c>
      <c r="L47" s="6" t="s">
        <v>62</v>
      </c>
      <c r="M47" s="11" t="str">
        <f t="shared" si="5"/>
        <v>24/02/2023</v>
      </c>
      <c r="N47" s="6"/>
      <c r="O47" s="6"/>
      <c r="P47" s="6"/>
      <c r="Q47" s="6"/>
      <c r="R47" s="6" t="s">
        <v>206</v>
      </c>
      <c r="S47" s="6"/>
      <c r="T47" s="6"/>
      <c r="U47" s="6"/>
      <c r="V47" s="6"/>
      <c r="W47" s="6"/>
      <c r="X47" s="6"/>
      <c r="Y47" s="6"/>
      <c r="Z47" s="6"/>
    </row>
    <row r="48" ht="15.75" customHeight="1">
      <c r="A48" s="4">
        <v>46.0</v>
      </c>
      <c r="B48" s="6">
        <v>14.0</v>
      </c>
      <c r="C48" s="6" t="s">
        <v>78</v>
      </c>
      <c r="D48" s="6"/>
      <c r="E48" s="6"/>
      <c r="F48" s="6"/>
      <c r="G48" s="6"/>
      <c r="H48" s="6"/>
      <c r="I48" s="6" t="s">
        <v>60</v>
      </c>
      <c r="J48" s="6" t="s">
        <v>30</v>
      </c>
      <c r="K48" s="8" t="s">
        <v>32</v>
      </c>
      <c r="L48" s="6" t="s">
        <v>62</v>
      </c>
      <c r="M48" s="11" t="str">
        <f t="shared" si="5"/>
        <v>24/02/2023</v>
      </c>
      <c r="N48" s="6"/>
      <c r="O48" s="6"/>
      <c r="P48" s="6"/>
      <c r="Q48" s="6"/>
      <c r="R48" s="6" t="s">
        <v>206</v>
      </c>
      <c r="S48" s="6"/>
      <c r="T48" s="6"/>
      <c r="U48" s="6"/>
      <c r="V48" s="6"/>
      <c r="W48" s="6"/>
      <c r="X48" s="6"/>
      <c r="Y48" s="6"/>
      <c r="Z48" s="6"/>
    </row>
    <row r="49" ht="15.75" customHeight="1">
      <c r="A49" s="4">
        <v>47.0</v>
      </c>
      <c r="B49" s="6">
        <v>15.0</v>
      </c>
      <c r="C49" s="6" t="s">
        <v>82</v>
      </c>
      <c r="D49" s="6"/>
      <c r="E49" s="6"/>
      <c r="F49" s="6"/>
      <c r="G49" s="6"/>
      <c r="H49" s="6"/>
      <c r="I49" s="20" t="s">
        <v>83</v>
      </c>
      <c r="J49" s="6" t="s">
        <v>30</v>
      </c>
      <c r="K49" s="8" t="s">
        <v>32</v>
      </c>
      <c r="L49" s="6" t="s">
        <v>84</v>
      </c>
      <c r="M49" s="11" t="str">
        <f t="shared" si="5"/>
        <v>24/02/2023</v>
      </c>
      <c r="N49" s="6"/>
      <c r="O49" s="6"/>
      <c r="P49" s="6"/>
      <c r="Q49" s="6"/>
      <c r="R49" s="6" t="s">
        <v>206</v>
      </c>
      <c r="S49" s="6"/>
      <c r="T49" s="6"/>
      <c r="U49" s="6"/>
      <c r="V49" s="6"/>
      <c r="W49" s="6"/>
      <c r="X49" s="6"/>
      <c r="Y49" s="6"/>
      <c r="Z49" s="6"/>
    </row>
    <row r="50" ht="15.75" customHeight="1">
      <c r="A50" s="4">
        <v>48.0</v>
      </c>
      <c r="B50" s="6">
        <v>16.0</v>
      </c>
      <c r="C50" s="6" t="s">
        <v>88</v>
      </c>
      <c r="D50" s="6"/>
      <c r="E50" s="6"/>
      <c r="F50" s="6"/>
      <c r="G50" s="6"/>
      <c r="H50" s="6"/>
      <c r="I50" s="20" t="s">
        <v>83</v>
      </c>
      <c r="J50" s="6" t="s">
        <v>30</v>
      </c>
      <c r="K50" s="8" t="s">
        <v>32</v>
      </c>
      <c r="L50" s="6" t="s">
        <v>84</v>
      </c>
      <c r="M50" s="11" t="str">
        <f t="shared" si="5"/>
        <v>24/02/2023</v>
      </c>
      <c r="N50" s="6"/>
      <c r="O50" s="6"/>
      <c r="P50" s="6"/>
      <c r="Q50" s="6"/>
      <c r="R50" s="6" t="s">
        <v>206</v>
      </c>
      <c r="S50" s="6"/>
      <c r="T50" s="6"/>
      <c r="U50" s="6"/>
      <c r="V50" s="6"/>
      <c r="W50" s="6"/>
      <c r="X50" s="6"/>
      <c r="Y50" s="6"/>
      <c r="Z50" s="6"/>
    </row>
    <row r="51" ht="15.75" customHeight="1">
      <c r="A51" s="4">
        <v>49.0</v>
      </c>
      <c r="B51" s="44">
        <v>1.0</v>
      </c>
      <c r="C51" s="44" t="s">
        <v>217</v>
      </c>
      <c r="D51" s="44"/>
      <c r="E51" s="44"/>
      <c r="F51" s="44"/>
      <c r="G51" s="44"/>
      <c r="H51" s="44"/>
      <c r="I51" s="50" t="s">
        <v>218</v>
      </c>
      <c r="J51" s="44" t="s">
        <v>99</v>
      </c>
      <c r="K51" s="46" t="s">
        <v>100</v>
      </c>
      <c r="L51" s="44" t="s">
        <v>219</v>
      </c>
      <c r="M51" s="8" t="s">
        <v>100</v>
      </c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4">
        <v>50.0</v>
      </c>
      <c r="B52" s="6">
        <v>2.0</v>
      </c>
      <c r="C52" s="6" t="s">
        <v>220</v>
      </c>
      <c r="D52" s="6"/>
      <c r="E52" s="6"/>
      <c r="F52" s="6"/>
      <c r="G52" s="6"/>
      <c r="H52" s="6"/>
      <c r="I52" s="20" t="s">
        <v>60</v>
      </c>
      <c r="J52" s="6" t="s">
        <v>99</v>
      </c>
      <c r="K52" s="8" t="s">
        <v>100</v>
      </c>
      <c r="L52" s="6" t="s">
        <v>221</v>
      </c>
      <c r="M52" s="8" t="s">
        <v>100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4">
        <v>51.0</v>
      </c>
      <c r="B53" s="6">
        <v>3.0</v>
      </c>
      <c r="C53" s="6" t="s">
        <v>222</v>
      </c>
      <c r="D53" s="6"/>
      <c r="E53" s="6"/>
      <c r="F53" s="6"/>
      <c r="G53" s="6"/>
      <c r="H53" s="6"/>
      <c r="I53" s="20" t="s">
        <v>60</v>
      </c>
      <c r="J53" s="6" t="s">
        <v>99</v>
      </c>
      <c r="K53" s="8" t="s">
        <v>100</v>
      </c>
      <c r="L53" s="6" t="s">
        <v>221</v>
      </c>
      <c r="M53" s="8" t="s">
        <v>100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4">
        <v>52.0</v>
      </c>
      <c r="B54" s="6">
        <v>4.0</v>
      </c>
      <c r="C54" s="6" t="s">
        <v>223</v>
      </c>
      <c r="D54" s="6"/>
      <c r="E54" s="6"/>
      <c r="F54" s="6"/>
      <c r="G54" s="6"/>
      <c r="H54" s="6"/>
      <c r="I54" s="20" t="s">
        <v>60</v>
      </c>
      <c r="J54" s="6" t="s">
        <v>99</v>
      </c>
      <c r="K54" s="8" t="s">
        <v>100</v>
      </c>
      <c r="L54" s="6" t="s">
        <v>221</v>
      </c>
      <c r="M54" s="8" t="s">
        <v>100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4">
        <v>53.0</v>
      </c>
      <c r="B55" s="6">
        <v>5.0</v>
      </c>
      <c r="C55" s="6" t="s">
        <v>224</v>
      </c>
      <c r="D55" s="6"/>
      <c r="E55" s="6"/>
      <c r="F55" s="6"/>
      <c r="G55" s="6"/>
      <c r="H55" s="6"/>
      <c r="I55" s="20" t="s">
        <v>60</v>
      </c>
      <c r="J55" s="6" t="s">
        <v>99</v>
      </c>
      <c r="K55" s="8" t="s">
        <v>100</v>
      </c>
      <c r="L55" s="6" t="s">
        <v>221</v>
      </c>
      <c r="M55" s="8" t="s">
        <v>100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4">
        <v>54.0</v>
      </c>
      <c r="B56" s="6">
        <v>6.0</v>
      </c>
      <c r="C56" s="6" t="s">
        <v>225</v>
      </c>
      <c r="D56" s="6"/>
      <c r="E56" s="6"/>
      <c r="F56" s="6"/>
      <c r="G56" s="6"/>
      <c r="H56" s="6"/>
      <c r="I56" s="20" t="s">
        <v>60</v>
      </c>
      <c r="J56" s="6" t="s">
        <v>99</v>
      </c>
      <c r="K56" s="8" t="s">
        <v>100</v>
      </c>
      <c r="L56" s="6" t="s">
        <v>221</v>
      </c>
      <c r="M56" s="8" t="s">
        <v>100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4">
        <v>55.0</v>
      </c>
      <c r="B57" s="6">
        <v>7.0</v>
      </c>
      <c r="C57" s="6" t="s">
        <v>226</v>
      </c>
      <c r="D57" s="6"/>
      <c r="E57" s="6"/>
      <c r="F57" s="6"/>
      <c r="G57" s="6"/>
      <c r="H57" s="6"/>
      <c r="I57" s="20" t="s">
        <v>97</v>
      </c>
      <c r="J57" s="6" t="s">
        <v>99</v>
      </c>
      <c r="K57" s="8" t="s">
        <v>100</v>
      </c>
      <c r="L57" s="6" t="s">
        <v>101</v>
      </c>
      <c r="M57" s="8" t="s">
        <v>100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4">
        <v>56.0</v>
      </c>
      <c r="B58" s="6">
        <v>8.0</v>
      </c>
      <c r="C58" s="6" t="s">
        <v>227</v>
      </c>
      <c r="D58" s="6"/>
      <c r="E58" s="6"/>
      <c r="F58" s="6"/>
      <c r="G58" s="6"/>
      <c r="H58" s="6"/>
      <c r="I58" s="20" t="s">
        <v>97</v>
      </c>
      <c r="J58" s="6" t="s">
        <v>99</v>
      </c>
      <c r="K58" s="8" t="s">
        <v>100</v>
      </c>
      <c r="L58" s="6" t="s">
        <v>101</v>
      </c>
      <c r="M58" s="8" t="s">
        <v>100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4">
        <v>57.0</v>
      </c>
      <c r="B59" s="6">
        <v>9.0</v>
      </c>
      <c r="C59" s="6" t="s">
        <v>228</v>
      </c>
      <c r="D59" s="6"/>
      <c r="E59" s="6"/>
      <c r="F59" s="6"/>
      <c r="G59" s="6"/>
      <c r="H59" s="6"/>
      <c r="I59" s="20" t="s">
        <v>97</v>
      </c>
      <c r="J59" s="6" t="s">
        <v>99</v>
      </c>
      <c r="K59" s="8" t="s">
        <v>100</v>
      </c>
      <c r="L59" s="6" t="s">
        <v>101</v>
      </c>
      <c r="M59" s="8" t="s">
        <v>100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4">
        <v>58.0</v>
      </c>
      <c r="B60" s="6">
        <v>10.0</v>
      </c>
      <c r="C60" s="6" t="s">
        <v>94</v>
      </c>
      <c r="D60" s="6"/>
      <c r="E60" s="6"/>
      <c r="F60" s="6"/>
      <c r="G60" s="6"/>
      <c r="H60" s="6"/>
      <c r="I60" s="20" t="s">
        <v>97</v>
      </c>
      <c r="J60" s="6" t="s">
        <v>99</v>
      </c>
      <c r="K60" s="8" t="s">
        <v>100</v>
      </c>
      <c r="L60" s="6" t="s">
        <v>101</v>
      </c>
      <c r="M60" s="8" t="s">
        <v>100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4">
        <v>59.0</v>
      </c>
      <c r="B61" s="6">
        <v>11.0</v>
      </c>
      <c r="C61" s="6" t="s">
        <v>105</v>
      </c>
      <c r="D61" s="6"/>
      <c r="E61" s="6"/>
      <c r="F61" s="6"/>
      <c r="G61" s="6"/>
      <c r="H61" s="6"/>
      <c r="I61" s="20" t="s">
        <v>111</v>
      </c>
      <c r="J61" s="6" t="s">
        <v>99</v>
      </c>
      <c r="K61" s="8" t="s">
        <v>100</v>
      </c>
      <c r="L61" s="6" t="s">
        <v>113</v>
      </c>
      <c r="M61" s="8" t="s">
        <v>100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4">
        <v>60.0</v>
      </c>
      <c r="B62" s="6">
        <v>12.0</v>
      </c>
      <c r="C62" s="6" t="s">
        <v>117</v>
      </c>
      <c r="D62" s="6"/>
      <c r="E62" s="6"/>
      <c r="F62" s="6"/>
      <c r="G62" s="6"/>
      <c r="H62" s="6"/>
      <c r="I62" s="20" t="s">
        <v>111</v>
      </c>
      <c r="J62" s="6" t="s">
        <v>99</v>
      </c>
      <c r="K62" s="8" t="s">
        <v>100</v>
      </c>
      <c r="L62" s="6" t="s">
        <v>113</v>
      </c>
      <c r="M62" s="8" t="s">
        <v>100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4">
        <v>61.0</v>
      </c>
      <c r="B63" s="6">
        <v>13.0</v>
      </c>
      <c r="C63" s="6" t="s">
        <v>127</v>
      </c>
      <c r="D63" s="6"/>
      <c r="E63" s="6"/>
      <c r="F63" s="6"/>
      <c r="G63" s="6"/>
      <c r="H63" s="6"/>
      <c r="I63" s="20" t="s">
        <v>111</v>
      </c>
      <c r="J63" s="6" t="s">
        <v>99</v>
      </c>
      <c r="K63" s="8" t="s">
        <v>100</v>
      </c>
      <c r="L63" s="6" t="s">
        <v>113</v>
      </c>
      <c r="M63" s="8" t="s">
        <v>100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4">
        <v>62.0</v>
      </c>
      <c r="B64" s="6">
        <v>14.0</v>
      </c>
      <c r="C64" s="6" t="s">
        <v>229</v>
      </c>
      <c r="D64" s="6"/>
      <c r="E64" s="6"/>
      <c r="F64" s="6"/>
      <c r="G64" s="6"/>
      <c r="H64" s="6"/>
      <c r="I64" s="20" t="s">
        <v>111</v>
      </c>
      <c r="J64" s="6" t="s">
        <v>99</v>
      </c>
      <c r="K64" s="8" t="s">
        <v>100</v>
      </c>
      <c r="L64" s="6" t="s">
        <v>113</v>
      </c>
      <c r="M64" s="8" t="s">
        <v>100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4">
        <v>63.0</v>
      </c>
      <c r="B65" s="6">
        <v>15.0</v>
      </c>
      <c r="C65" s="6" t="s">
        <v>230</v>
      </c>
      <c r="D65" s="6"/>
      <c r="E65" s="6"/>
      <c r="F65" s="6"/>
      <c r="G65" s="6"/>
      <c r="H65" s="6"/>
      <c r="I65" s="20" t="s">
        <v>111</v>
      </c>
      <c r="J65" s="6" t="s">
        <v>99</v>
      </c>
      <c r="K65" s="8" t="s">
        <v>100</v>
      </c>
      <c r="L65" s="6" t="s">
        <v>113</v>
      </c>
      <c r="M65" s="8" t="s">
        <v>100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4">
        <v>64.0</v>
      </c>
      <c r="B66" s="6">
        <v>16.0</v>
      </c>
      <c r="C66" s="6" t="s">
        <v>231</v>
      </c>
      <c r="D66" s="6"/>
      <c r="E66" s="6"/>
      <c r="F66" s="6"/>
      <c r="G66" s="6"/>
      <c r="H66" s="6"/>
      <c r="I66" s="20" t="s">
        <v>232</v>
      </c>
      <c r="J66" s="6" t="s">
        <v>99</v>
      </c>
      <c r="K66" s="8" t="s">
        <v>100</v>
      </c>
      <c r="L66" s="6" t="s">
        <v>84</v>
      </c>
      <c r="M66" s="8" t="s">
        <v>100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4">
        <v>65.0</v>
      </c>
      <c r="B67" s="6">
        <v>17.0</v>
      </c>
      <c r="C67" s="6" t="s">
        <v>233</v>
      </c>
      <c r="D67" s="6"/>
      <c r="E67" s="6"/>
      <c r="F67" s="6"/>
      <c r="G67" s="6"/>
      <c r="H67" s="6"/>
      <c r="I67" s="20" t="s">
        <v>232</v>
      </c>
      <c r="J67" s="6" t="s">
        <v>99</v>
      </c>
      <c r="K67" s="8" t="s">
        <v>100</v>
      </c>
      <c r="L67" s="6" t="s">
        <v>84</v>
      </c>
      <c r="M67" s="8" t="s">
        <v>100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4">
        <v>66.0</v>
      </c>
      <c r="B68" s="6">
        <v>18.0</v>
      </c>
      <c r="C68" s="6" t="s">
        <v>234</v>
      </c>
      <c r="D68" s="6"/>
      <c r="E68" s="6"/>
      <c r="F68" s="6"/>
      <c r="G68" s="6"/>
      <c r="H68" s="6"/>
      <c r="I68" s="20" t="s">
        <v>232</v>
      </c>
      <c r="J68" s="6" t="s">
        <v>99</v>
      </c>
      <c r="K68" s="8" t="s">
        <v>100</v>
      </c>
      <c r="L68" s="6" t="s">
        <v>84</v>
      </c>
      <c r="M68" s="8" t="s">
        <v>100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4">
        <v>67.0</v>
      </c>
      <c r="B69" s="6">
        <v>19.0</v>
      </c>
      <c r="C69" s="6" t="s">
        <v>82</v>
      </c>
      <c r="D69" s="6"/>
      <c r="E69" s="6"/>
      <c r="F69" s="6"/>
      <c r="G69" s="6"/>
      <c r="H69" s="6"/>
      <c r="I69" s="20" t="s">
        <v>232</v>
      </c>
      <c r="J69" s="6" t="s">
        <v>99</v>
      </c>
      <c r="K69" s="8" t="s">
        <v>100</v>
      </c>
      <c r="L69" s="6" t="s">
        <v>84</v>
      </c>
      <c r="M69" s="8" t="s">
        <v>100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4">
        <v>68.0</v>
      </c>
      <c r="B70" s="6">
        <v>20.0</v>
      </c>
      <c r="C70" s="6" t="s">
        <v>88</v>
      </c>
      <c r="D70" s="6"/>
      <c r="E70" s="6"/>
      <c r="F70" s="6"/>
      <c r="G70" s="6"/>
      <c r="H70" s="6"/>
      <c r="I70" s="20" t="s">
        <v>232</v>
      </c>
      <c r="J70" s="6" t="s">
        <v>99</v>
      </c>
      <c r="K70" s="8" t="s">
        <v>100</v>
      </c>
      <c r="L70" s="6" t="s">
        <v>84</v>
      </c>
      <c r="M70" s="8" t="s">
        <v>100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4">
        <v>69.0</v>
      </c>
      <c r="B71" s="6">
        <v>21.0</v>
      </c>
      <c r="C71" s="6" t="s">
        <v>235</v>
      </c>
      <c r="D71" s="6"/>
      <c r="E71" s="6"/>
      <c r="F71" s="6"/>
      <c r="G71" s="6"/>
      <c r="H71" s="6"/>
      <c r="I71" s="20" t="s">
        <v>232</v>
      </c>
      <c r="J71" s="6" t="s">
        <v>99</v>
      </c>
      <c r="K71" s="8" t="s">
        <v>100</v>
      </c>
      <c r="L71" s="6" t="s">
        <v>84</v>
      </c>
      <c r="M71" s="8" t="s">
        <v>100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4">
        <v>70.0</v>
      </c>
      <c r="B72" s="6">
        <v>22.0</v>
      </c>
      <c r="C72" s="6" t="s">
        <v>236</v>
      </c>
      <c r="D72" s="6"/>
      <c r="E72" s="6"/>
      <c r="F72" s="6"/>
      <c r="G72" s="6"/>
      <c r="H72" s="6"/>
      <c r="I72" s="20" t="s">
        <v>232</v>
      </c>
      <c r="J72" s="6" t="s">
        <v>99</v>
      </c>
      <c r="K72" s="8" t="s">
        <v>100</v>
      </c>
      <c r="L72" s="6" t="s">
        <v>84</v>
      </c>
      <c r="M72" s="8" t="s">
        <v>100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4">
        <v>71.0</v>
      </c>
      <c r="B73" s="6">
        <v>23.0</v>
      </c>
      <c r="C73" s="6" t="s">
        <v>134</v>
      </c>
      <c r="D73" s="6"/>
      <c r="E73" s="6"/>
      <c r="F73" s="6"/>
      <c r="G73" s="6"/>
      <c r="H73" s="6"/>
      <c r="I73" s="20" t="s">
        <v>136</v>
      </c>
      <c r="J73" s="6" t="s">
        <v>99</v>
      </c>
      <c r="K73" s="8" t="s">
        <v>100</v>
      </c>
      <c r="L73" s="6" t="s">
        <v>137</v>
      </c>
      <c r="M73" s="8" t="s">
        <v>100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4">
        <v>72.0</v>
      </c>
      <c r="B74" s="6">
        <v>24.0</v>
      </c>
      <c r="C74" s="6" t="s">
        <v>139</v>
      </c>
      <c r="D74" s="6"/>
      <c r="E74" s="6"/>
      <c r="F74" s="6"/>
      <c r="G74" s="6"/>
      <c r="H74" s="6"/>
      <c r="I74" s="20" t="s">
        <v>136</v>
      </c>
      <c r="J74" s="6" t="s">
        <v>99</v>
      </c>
      <c r="K74" s="8" t="s">
        <v>100</v>
      </c>
      <c r="L74" s="6" t="s">
        <v>137</v>
      </c>
      <c r="M74" s="8" t="s">
        <v>100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4">
        <v>73.0</v>
      </c>
      <c r="B75" s="6">
        <v>25.0</v>
      </c>
      <c r="C75" s="6" t="s">
        <v>237</v>
      </c>
      <c r="D75" s="6"/>
      <c r="E75" s="6"/>
      <c r="F75" s="6"/>
      <c r="G75" s="6"/>
      <c r="H75" s="6"/>
      <c r="I75" s="20" t="s">
        <v>136</v>
      </c>
      <c r="J75" s="6" t="s">
        <v>99</v>
      </c>
      <c r="K75" s="8" t="s">
        <v>100</v>
      </c>
      <c r="L75" s="6" t="s">
        <v>137</v>
      </c>
      <c r="M75" s="8" t="s">
        <v>100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4">
        <v>74.0</v>
      </c>
      <c r="B76" s="6">
        <v>26.0</v>
      </c>
      <c r="C76" s="6" t="s">
        <v>238</v>
      </c>
      <c r="D76" s="6"/>
      <c r="E76" s="6"/>
      <c r="F76" s="6"/>
      <c r="G76" s="6"/>
      <c r="H76" s="6"/>
      <c r="I76" s="20" t="s">
        <v>136</v>
      </c>
      <c r="J76" s="6" t="s">
        <v>99</v>
      </c>
      <c r="K76" s="8" t="s">
        <v>100</v>
      </c>
      <c r="L76" s="6" t="s">
        <v>137</v>
      </c>
      <c r="M76" s="8" t="s">
        <v>100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4">
        <v>75.0</v>
      </c>
      <c r="B77" s="6">
        <v>27.0</v>
      </c>
      <c r="C77" s="6" t="s">
        <v>239</v>
      </c>
      <c r="D77" s="6"/>
      <c r="E77" s="6"/>
      <c r="F77" s="6"/>
      <c r="G77" s="6"/>
      <c r="H77" s="6"/>
      <c r="I77" s="20" t="s">
        <v>136</v>
      </c>
      <c r="J77" s="6" t="s">
        <v>99</v>
      </c>
      <c r="K77" s="8" t="s">
        <v>100</v>
      </c>
      <c r="L77" s="6" t="s">
        <v>137</v>
      </c>
      <c r="M77" s="8" t="s">
        <v>100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4">
        <v>76.0</v>
      </c>
      <c r="B78" s="44">
        <v>17.0</v>
      </c>
      <c r="C78" s="44" t="s">
        <v>240</v>
      </c>
      <c r="D78" s="44"/>
      <c r="E78" s="44"/>
      <c r="F78" s="44"/>
      <c r="G78" s="44"/>
      <c r="H78" s="44"/>
      <c r="I78" s="51" t="s">
        <v>136</v>
      </c>
      <c r="J78" s="44" t="s">
        <v>148</v>
      </c>
      <c r="K78" s="46" t="s">
        <v>149</v>
      </c>
      <c r="L78" s="44"/>
      <c r="M78" s="11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5.75" customHeight="1">
      <c r="A79" s="4">
        <v>77.0</v>
      </c>
      <c r="B79" s="6">
        <v>18.0</v>
      </c>
      <c r="C79" s="6" t="s">
        <v>241</v>
      </c>
      <c r="D79" s="6"/>
      <c r="E79" s="6"/>
      <c r="F79" s="6"/>
      <c r="G79" s="6"/>
      <c r="H79" s="6"/>
      <c r="I79" s="6" t="s">
        <v>136</v>
      </c>
      <c r="J79" s="6" t="s">
        <v>148</v>
      </c>
      <c r="K79" s="8" t="s">
        <v>149</v>
      </c>
      <c r="L79" s="6"/>
      <c r="M79" s="11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4">
        <v>78.0</v>
      </c>
      <c r="B80" s="6">
        <v>19.0</v>
      </c>
      <c r="C80" s="6" t="s">
        <v>242</v>
      </c>
      <c r="D80" s="6"/>
      <c r="E80" s="6"/>
      <c r="F80" s="6"/>
      <c r="G80" s="6"/>
      <c r="H80" s="6"/>
      <c r="I80" s="6" t="s">
        <v>136</v>
      </c>
      <c r="J80" s="6" t="s">
        <v>148</v>
      </c>
      <c r="K80" s="8" t="s">
        <v>149</v>
      </c>
      <c r="L80" s="6"/>
      <c r="M80" s="11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4">
        <v>79.0</v>
      </c>
      <c r="B81" s="6">
        <v>20.0</v>
      </c>
      <c r="C81" s="6" t="s">
        <v>243</v>
      </c>
      <c r="D81" s="6"/>
      <c r="E81" s="6"/>
      <c r="F81" s="6"/>
      <c r="G81" s="6"/>
      <c r="H81" s="6"/>
      <c r="I81" s="6" t="s">
        <v>136</v>
      </c>
      <c r="J81" s="6" t="s">
        <v>148</v>
      </c>
      <c r="K81" s="8" t="s">
        <v>149</v>
      </c>
      <c r="L81" s="6"/>
      <c r="M81" s="11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4">
        <v>80.0</v>
      </c>
      <c r="B82" s="6">
        <v>21.0</v>
      </c>
      <c r="C82" s="6" t="s">
        <v>146</v>
      </c>
      <c r="D82" s="6"/>
      <c r="E82" s="6"/>
      <c r="F82" s="6"/>
      <c r="G82" s="6"/>
      <c r="H82" s="6"/>
      <c r="I82" s="6" t="s">
        <v>136</v>
      </c>
      <c r="J82" s="6" t="s">
        <v>148</v>
      </c>
      <c r="K82" s="8" t="s">
        <v>149</v>
      </c>
      <c r="L82" s="6"/>
      <c r="M82" s="11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4">
        <v>81.0</v>
      </c>
      <c r="B83" s="6">
        <v>22.0</v>
      </c>
      <c r="C83" s="6" t="s">
        <v>154</v>
      </c>
      <c r="D83" s="6"/>
      <c r="E83" s="6"/>
      <c r="F83" s="6"/>
      <c r="G83" s="6"/>
      <c r="H83" s="6"/>
      <c r="I83" s="6" t="s">
        <v>155</v>
      </c>
      <c r="J83" s="6" t="s">
        <v>148</v>
      </c>
      <c r="K83" s="8" t="s">
        <v>149</v>
      </c>
      <c r="L83" s="6"/>
      <c r="M83" s="11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4">
        <v>82.0</v>
      </c>
      <c r="B84" s="6">
        <v>23.0</v>
      </c>
      <c r="C84" s="6" t="s">
        <v>159</v>
      </c>
      <c r="D84" s="6"/>
      <c r="E84" s="6"/>
      <c r="F84" s="6"/>
      <c r="G84" s="6"/>
      <c r="H84" s="6"/>
      <c r="I84" s="6" t="s">
        <v>161</v>
      </c>
      <c r="J84" s="6" t="s">
        <v>148</v>
      </c>
      <c r="K84" s="8" t="s">
        <v>149</v>
      </c>
      <c r="L84" s="6"/>
      <c r="M84" s="11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4">
        <v>83.0</v>
      </c>
      <c r="B85" s="6">
        <v>24.0</v>
      </c>
      <c r="C85" s="6" t="s">
        <v>164</v>
      </c>
      <c r="D85" s="6"/>
      <c r="E85" s="6"/>
      <c r="F85" s="6"/>
      <c r="G85" s="6"/>
      <c r="H85" s="6"/>
      <c r="I85" s="6" t="s">
        <v>161</v>
      </c>
      <c r="J85" s="6" t="s">
        <v>148</v>
      </c>
      <c r="K85" s="8" t="s">
        <v>149</v>
      </c>
      <c r="L85" s="6"/>
      <c r="M85" s="11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4">
        <v>84.0</v>
      </c>
      <c r="B86" s="6">
        <v>25.0</v>
      </c>
      <c r="C86" s="6" t="s">
        <v>166</v>
      </c>
      <c r="D86" s="6"/>
      <c r="E86" s="6"/>
      <c r="F86" s="6"/>
      <c r="G86" s="6"/>
      <c r="H86" s="6"/>
      <c r="I86" s="6" t="s">
        <v>161</v>
      </c>
      <c r="J86" s="6" t="s">
        <v>148</v>
      </c>
      <c r="K86" s="8" t="s">
        <v>149</v>
      </c>
      <c r="L86" s="6"/>
      <c r="M86" s="11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4">
        <v>85.0</v>
      </c>
      <c r="B87" s="6">
        <v>26.0</v>
      </c>
      <c r="C87" s="6" t="s">
        <v>244</v>
      </c>
      <c r="D87" s="6"/>
      <c r="E87" s="6"/>
      <c r="F87" s="6"/>
      <c r="G87" s="6"/>
      <c r="H87" s="6"/>
      <c r="I87" s="6" t="s">
        <v>111</v>
      </c>
      <c r="J87" s="6" t="s">
        <v>148</v>
      </c>
      <c r="K87" s="8" t="s">
        <v>149</v>
      </c>
      <c r="L87" s="6"/>
      <c r="M87" s="11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>
        <v>86.0</v>
      </c>
      <c r="B88" s="6">
        <v>27.0</v>
      </c>
      <c r="C88" s="6" t="s">
        <v>245</v>
      </c>
      <c r="D88" s="6"/>
      <c r="E88" s="6"/>
      <c r="F88" s="6"/>
      <c r="G88" s="6"/>
      <c r="H88" s="6"/>
      <c r="I88" s="6" t="s">
        <v>111</v>
      </c>
      <c r="J88" s="6" t="s">
        <v>148</v>
      </c>
      <c r="K88" s="8" t="s">
        <v>149</v>
      </c>
      <c r="L88" s="6"/>
      <c r="M88" s="11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4">
        <v>87.0</v>
      </c>
      <c r="B89" s="6">
        <v>28.0</v>
      </c>
      <c r="C89" s="6" t="s">
        <v>246</v>
      </c>
      <c r="D89" s="6"/>
      <c r="E89" s="6"/>
      <c r="F89" s="6"/>
      <c r="G89" s="6"/>
      <c r="H89" s="6"/>
      <c r="I89" s="6" t="s">
        <v>111</v>
      </c>
      <c r="J89" s="6" t="s">
        <v>148</v>
      </c>
      <c r="K89" s="8" t="s">
        <v>149</v>
      </c>
      <c r="L89" s="6"/>
      <c r="M89" s="11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4">
        <v>88.0</v>
      </c>
      <c r="B90" s="6">
        <v>29.0</v>
      </c>
      <c r="C90" s="6" t="s">
        <v>247</v>
      </c>
      <c r="D90" s="6"/>
      <c r="E90" s="6"/>
      <c r="F90" s="6"/>
      <c r="G90" s="6"/>
      <c r="H90" s="6"/>
      <c r="I90" s="6" t="s">
        <v>111</v>
      </c>
      <c r="J90" s="6" t="s">
        <v>148</v>
      </c>
      <c r="K90" s="8" t="s">
        <v>149</v>
      </c>
      <c r="L90" s="6"/>
      <c r="M90" s="11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4">
        <v>89.0</v>
      </c>
      <c r="B91" s="6">
        <v>30.0</v>
      </c>
      <c r="C91" s="6" t="s">
        <v>248</v>
      </c>
      <c r="D91" s="6"/>
      <c r="E91" s="6"/>
      <c r="F91" s="6"/>
      <c r="G91" s="6"/>
      <c r="H91" s="6"/>
      <c r="I91" s="6" t="s">
        <v>249</v>
      </c>
      <c r="J91" s="6" t="s">
        <v>148</v>
      </c>
      <c r="K91" s="8" t="s">
        <v>149</v>
      </c>
      <c r="L91" s="6"/>
      <c r="M91" s="11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4">
        <v>90.0</v>
      </c>
      <c r="B92" s="6">
        <v>31.0</v>
      </c>
      <c r="C92" s="6" t="s">
        <v>250</v>
      </c>
      <c r="D92" s="6"/>
      <c r="E92" s="6"/>
      <c r="F92" s="6"/>
      <c r="G92" s="6"/>
      <c r="H92" s="6"/>
      <c r="I92" s="6" t="s">
        <v>251</v>
      </c>
      <c r="J92" s="6" t="s">
        <v>148</v>
      </c>
      <c r="K92" s="8" t="s">
        <v>149</v>
      </c>
      <c r="L92" s="6"/>
      <c r="M92" s="11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4">
        <v>91.0</v>
      </c>
      <c r="B93" s="6">
        <v>32.0</v>
      </c>
      <c r="C93" s="6" t="s">
        <v>252</v>
      </c>
      <c r="D93" s="6"/>
      <c r="E93" s="6"/>
      <c r="F93" s="6"/>
      <c r="G93" s="6"/>
      <c r="H93" s="6"/>
      <c r="I93" s="6" t="s">
        <v>251</v>
      </c>
      <c r="J93" s="6" t="s">
        <v>148</v>
      </c>
      <c r="K93" s="8" t="s">
        <v>149</v>
      </c>
      <c r="L93" s="6"/>
      <c r="M93" s="11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4">
        <v>92.0</v>
      </c>
      <c r="B94" s="6">
        <v>33.0</v>
      </c>
      <c r="C94" s="6" t="s">
        <v>253</v>
      </c>
      <c r="D94" s="6"/>
      <c r="E94" s="6"/>
      <c r="F94" s="6"/>
      <c r="G94" s="6"/>
      <c r="H94" s="6"/>
      <c r="I94" s="6" t="s">
        <v>251</v>
      </c>
      <c r="J94" s="6" t="s">
        <v>148</v>
      </c>
      <c r="K94" s="8" t="s">
        <v>149</v>
      </c>
      <c r="L94" s="6"/>
      <c r="M94" s="11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4">
        <v>93.0</v>
      </c>
      <c r="B95" s="6">
        <v>34.0</v>
      </c>
      <c r="C95" s="6" t="s">
        <v>254</v>
      </c>
      <c r="D95" s="6"/>
      <c r="E95" s="6"/>
      <c r="F95" s="6"/>
      <c r="G95" s="6"/>
      <c r="H95" s="6"/>
      <c r="I95" s="6" t="s">
        <v>251</v>
      </c>
      <c r="J95" s="6" t="s">
        <v>148</v>
      </c>
      <c r="K95" s="8" t="s">
        <v>149</v>
      </c>
      <c r="L95" s="6"/>
      <c r="M95" s="11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4">
        <v>94.0</v>
      </c>
      <c r="B96" s="6">
        <v>35.0</v>
      </c>
      <c r="C96" s="6" t="s">
        <v>255</v>
      </c>
      <c r="D96" s="6"/>
      <c r="E96" s="6"/>
      <c r="F96" s="6"/>
      <c r="G96" s="6"/>
      <c r="H96" s="6"/>
      <c r="I96" s="52" t="s">
        <v>256</v>
      </c>
      <c r="J96" s="6" t="s">
        <v>148</v>
      </c>
      <c r="K96" s="8" t="s">
        <v>149</v>
      </c>
      <c r="L96" s="6"/>
      <c r="M96" s="11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4">
        <v>95.0</v>
      </c>
      <c r="B97" s="6">
        <v>36.0</v>
      </c>
      <c r="C97" s="6" t="s">
        <v>257</v>
      </c>
      <c r="D97" s="6"/>
      <c r="E97" s="6"/>
      <c r="F97" s="6"/>
      <c r="G97" s="6"/>
      <c r="H97" s="6"/>
      <c r="I97" s="52" t="s">
        <v>256</v>
      </c>
      <c r="J97" s="6" t="s">
        <v>148</v>
      </c>
      <c r="K97" s="8" t="s">
        <v>149</v>
      </c>
      <c r="L97" s="6"/>
      <c r="M97" s="11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>
        <v>1.0</v>
      </c>
      <c r="B98" s="6"/>
      <c r="C98" s="6" t="s">
        <v>259</v>
      </c>
      <c r="D98" s="6"/>
      <c r="E98" s="6"/>
      <c r="F98" s="6"/>
      <c r="G98" s="6"/>
      <c r="H98" s="6"/>
      <c r="I98" s="6" t="s">
        <v>260</v>
      </c>
      <c r="J98" s="6" t="s">
        <v>261</v>
      </c>
      <c r="K98" s="8" t="s">
        <v>262</v>
      </c>
      <c r="L98" s="6" t="s">
        <v>263</v>
      </c>
      <c r="M98" s="17" t="s">
        <v>262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>
        <v>2.0</v>
      </c>
      <c r="B99" s="6"/>
      <c r="C99" s="6" t="s">
        <v>264</v>
      </c>
      <c r="D99" s="6"/>
      <c r="E99" s="6"/>
      <c r="F99" s="6"/>
      <c r="G99" s="6"/>
      <c r="H99" s="6"/>
      <c r="I99" s="6" t="s">
        <v>265</v>
      </c>
      <c r="J99" s="6" t="s">
        <v>261</v>
      </c>
      <c r="K99" s="8" t="s">
        <v>262</v>
      </c>
      <c r="L99" s="6" t="s">
        <v>263</v>
      </c>
      <c r="M99" s="17" t="s">
        <v>262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>
        <v>3.0</v>
      </c>
      <c r="B100" s="6"/>
      <c r="C100" s="6" t="s">
        <v>266</v>
      </c>
      <c r="D100" s="6"/>
      <c r="E100" s="6"/>
      <c r="F100" s="6"/>
      <c r="G100" s="6"/>
      <c r="H100" s="6"/>
      <c r="I100" s="6" t="s">
        <v>267</v>
      </c>
      <c r="J100" s="6" t="s">
        <v>261</v>
      </c>
      <c r="K100" s="8" t="s">
        <v>262</v>
      </c>
      <c r="L100" s="6" t="s">
        <v>268</v>
      </c>
      <c r="M100" s="17" t="s">
        <v>262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>
        <v>4.0</v>
      </c>
      <c r="B101" s="6"/>
      <c r="C101" s="6" t="s">
        <v>269</v>
      </c>
      <c r="D101" s="6"/>
      <c r="E101" s="6"/>
      <c r="F101" s="6"/>
      <c r="G101" s="6"/>
      <c r="H101" s="6"/>
      <c r="I101" s="6" t="s">
        <v>111</v>
      </c>
      <c r="J101" s="6" t="s">
        <v>261</v>
      </c>
      <c r="K101" s="8" t="s">
        <v>262</v>
      </c>
      <c r="L101" s="6" t="s">
        <v>113</v>
      </c>
      <c r="M101" s="17" t="s">
        <v>262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>
        <v>5.0</v>
      </c>
      <c r="B102" s="6"/>
      <c r="C102" s="6" t="s">
        <v>270</v>
      </c>
      <c r="D102" s="6"/>
      <c r="E102" s="6"/>
      <c r="F102" s="6"/>
      <c r="G102" s="6"/>
      <c r="H102" s="6"/>
      <c r="I102" s="6" t="s">
        <v>111</v>
      </c>
      <c r="J102" s="6" t="s">
        <v>261</v>
      </c>
      <c r="K102" s="8" t="s">
        <v>262</v>
      </c>
      <c r="L102" s="6" t="s">
        <v>113</v>
      </c>
      <c r="M102" s="17" t="s">
        <v>262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>
        <v>6.0</v>
      </c>
      <c r="B103" s="6"/>
      <c r="C103" s="6" t="s">
        <v>271</v>
      </c>
      <c r="D103" s="6"/>
      <c r="E103" s="6"/>
      <c r="F103" s="6"/>
      <c r="G103" s="6"/>
      <c r="H103" s="6"/>
      <c r="I103" s="6" t="s">
        <v>111</v>
      </c>
      <c r="J103" s="6" t="s">
        <v>261</v>
      </c>
      <c r="K103" s="8" t="s">
        <v>262</v>
      </c>
      <c r="L103" s="6" t="s">
        <v>113</v>
      </c>
      <c r="M103" s="17" t="s">
        <v>262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>
        <v>7.0</v>
      </c>
      <c r="B104" s="6"/>
      <c r="C104" s="6" t="s">
        <v>272</v>
      </c>
      <c r="D104" s="6"/>
      <c r="E104" s="6"/>
      <c r="F104" s="6"/>
      <c r="G104" s="6"/>
      <c r="H104" s="6"/>
      <c r="I104" s="6" t="s">
        <v>111</v>
      </c>
      <c r="J104" s="6" t="s">
        <v>261</v>
      </c>
      <c r="K104" s="8" t="s">
        <v>262</v>
      </c>
      <c r="L104" s="6" t="s">
        <v>113</v>
      </c>
      <c r="M104" s="17" t="s">
        <v>262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>
        <v>8.0</v>
      </c>
      <c r="B105" s="6"/>
      <c r="C105" s="6" t="s">
        <v>273</v>
      </c>
      <c r="D105" s="6"/>
      <c r="E105" s="6"/>
      <c r="F105" s="6"/>
      <c r="G105" s="6"/>
      <c r="H105" s="6"/>
      <c r="I105" s="6" t="s">
        <v>274</v>
      </c>
      <c r="J105" s="6" t="s">
        <v>261</v>
      </c>
      <c r="K105" s="8" t="s">
        <v>262</v>
      </c>
      <c r="L105" s="6" t="s">
        <v>275</v>
      </c>
      <c r="M105" s="17" t="s">
        <v>262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>
        <v>9.0</v>
      </c>
      <c r="B106" s="6"/>
      <c r="C106" s="6" t="s">
        <v>276</v>
      </c>
      <c r="D106" s="6"/>
      <c r="E106" s="6"/>
      <c r="F106" s="6"/>
      <c r="G106" s="6"/>
      <c r="H106" s="6"/>
      <c r="I106" s="6" t="s">
        <v>277</v>
      </c>
      <c r="J106" s="6" t="s">
        <v>261</v>
      </c>
      <c r="K106" s="8" t="s">
        <v>262</v>
      </c>
      <c r="L106" s="6" t="s">
        <v>275</v>
      </c>
      <c r="M106" s="17" t="s">
        <v>262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>
        <v>10.0</v>
      </c>
      <c r="B107" s="6"/>
      <c r="C107" s="6" t="s">
        <v>278</v>
      </c>
      <c r="D107" s="6"/>
      <c r="E107" s="6"/>
      <c r="F107" s="6"/>
      <c r="G107" s="6"/>
      <c r="H107" s="6"/>
      <c r="I107" s="6" t="s">
        <v>274</v>
      </c>
      <c r="J107" s="6" t="s">
        <v>261</v>
      </c>
      <c r="K107" s="8" t="s">
        <v>262</v>
      </c>
      <c r="L107" s="6" t="s">
        <v>275</v>
      </c>
      <c r="M107" s="17" t="s">
        <v>262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4.13"/>
    <col customWidth="1" min="2" max="2" width="11.13"/>
    <col customWidth="1" min="3" max="3" width="22.13"/>
    <col customWidth="1" min="4" max="4" width="20.88"/>
    <col customWidth="1" min="5" max="6" width="13.38"/>
    <col customWidth="1" min="7" max="7" width="29.13"/>
    <col customWidth="1" min="8" max="8" width="25.5"/>
    <col customWidth="1" min="9" max="9" width="18.88"/>
    <col customWidth="1" min="10" max="10" width="22.13"/>
    <col customWidth="1" min="11" max="11" width="18.0"/>
    <col customWidth="1" min="12" max="12" width="47.63"/>
    <col customWidth="1" min="13" max="13" width="11.75"/>
    <col customWidth="1" min="14" max="14" width="20.13"/>
    <col customWidth="1" min="15" max="15" width="17.0"/>
    <col customWidth="1" min="16" max="16" width="18.13"/>
    <col customWidth="1" min="17" max="17" width="16.0"/>
    <col customWidth="1" min="18" max="18" width="101.13"/>
    <col customWidth="1" min="19" max="19" width="42.75"/>
    <col customWidth="1" min="20" max="26" width="8.75"/>
  </cols>
  <sheetData>
    <row r="1" ht="53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7</v>
      </c>
      <c r="H1" s="1" t="s">
        <v>9</v>
      </c>
      <c r="I1" s="1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1" t="s">
        <v>16</v>
      </c>
      <c r="P1" s="1" t="s">
        <v>18</v>
      </c>
      <c r="Q1" s="1" t="s">
        <v>19</v>
      </c>
      <c r="R1" s="1" t="s">
        <v>279</v>
      </c>
      <c r="S1" s="3" t="s">
        <v>280</v>
      </c>
      <c r="T1" s="3"/>
      <c r="U1" s="3"/>
      <c r="V1" s="3"/>
      <c r="W1" s="3"/>
      <c r="X1" s="3"/>
      <c r="Y1" s="3"/>
      <c r="Z1" s="3"/>
    </row>
    <row r="2" hidden="1">
      <c r="A2" s="4">
        <v>1.0</v>
      </c>
      <c r="B2" s="4"/>
      <c r="C2" s="5" t="s">
        <v>22</v>
      </c>
      <c r="D2" s="5"/>
      <c r="E2" s="5"/>
      <c r="F2" s="5"/>
      <c r="G2" s="5" t="s">
        <v>26</v>
      </c>
      <c r="H2" s="5"/>
      <c r="I2" s="5" t="s">
        <v>29</v>
      </c>
      <c r="J2" s="6" t="s">
        <v>30</v>
      </c>
      <c r="K2" s="8" t="s">
        <v>32</v>
      </c>
      <c r="L2" s="6" t="s">
        <v>34</v>
      </c>
      <c r="M2" s="11" t="str">
        <f t="shared" ref="M2:M4" si="1">K2</f>
        <v>24/02/2023</v>
      </c>
      <c r="N2" s="5" t="s">
        <v>40</v>
      </c>
      <c r="O2" s="12" t="s">
        <v>41</v>
      </c>
      <c r="P2" s="5"/>
      <c r="Q2" s="6" t="s">
        <v>42</v>
      </c>
      <c r="R2" s="6"/>
      <c r="S2" s="6"/>
      <c r="T2" s="6"/>
      <c r="U2" s="6"/>
      <c r="V2" s="6"/>
      <c r="W2" s="6"/>
      <c r="X2" s="6"/>
      <c r="Y2" s="6"/>
      <c r="Z2" s="6"/>
    </row>
    <row r="3" hidden="1">
      <c r="A3" s="4">
        <v>2.0</v>
      </c>
      <c r="B3" s="4"/>
      <c r="C3" s="5" t="s">
        <v>43</v>
      </c>
      <c r="D3" s="5"/>
      <c r="E3" s="5"/>
      <c r="F3" s="5"/>
      <c r="G3" s="5" t="s">
        <v>44</v>
      </c>
      <c r="H3" s="5" t="s">
        <v>45</v>
      </c>
      <c r="I3" s="5" t="s">
        <v>29</v>
      </c>
      <c r="J3" s="6" t="s">
        <v>46</v>
      </c>
      <c r="K3" s="8" t="s">
        <v>47</v>
      </c>
      <c r="L3" s="6" t="s">
        <v>34</v>
      </c>
      <c r="M3" s="11" t="str">
        <f t="shared" si="1"/>
        <v>27/5/2022</v>
      </c>
      <c r="N3" s="5" t="s">
        <v>40</v>
      </c>
      <c r="O3" s="12" t="s">
        <v>41</v>
      </c>
      <c r="P3" s="5" t="s">
        <v>48</v>
      </c>
      <c r="Q3" s="6" t="s">
        <v>42</v>
      </c>
      <c r="R3" s="6"/>
      <c r="S3" s="6"/>
      <c r="T3" s="6"/>
      <c r="U3" s="6"/>
      <c r="V3" s="6"/>
      <c r="W3" s="6"/>
      <c r="X3" s="6"/>
      <c r="Y3" s="6"/>
      <c r="Z3" s="6"/>
    </row>
    <row r="4" hidden="1">
      <c r="A4" s="4">
        <v>3.0</v>
      </c>
      <c r="B4" s="4"/>
      <c r="C4" s="5" t="s">
        <v>49</v>
      </c>
      <c r="D4" s="5"/>
      <c r="E4" s="5"/>
      <c r="F4" s="5"/>
      <c r="G4" s="5" t="s">
        <v>50</v>
      </c>
      <c r="H4" s="5"/>
      <c r="I4" s="5" t="s">
        <v>29</v>
      </c>
      <c r="J4" s="6" t="s">
        <v>46</v>
      </c>
      <c r="K4" s="8" t="s">
        <v>47</v>
      </c>
      <c r="L4" s="6" t="s">
        <v>34</v>
      </c>
      <c r="M4" s="11" t="str">
        <f t="shared" si="1"/>
        <v>27/5/2022</v>
      </c>
      <c r="N4" s="5" t="s">
        <v>40</v>
      </c>
      <c r="O4" s="12" t="s">
        <v>41</v>
      </c>
      <c r="P4" s="5" t="s">
        <v>51</v>
      </c>
      <c r="Q4" s="6" t="s">
        <v>42</v>
      </c>
      <c r="R4" s="6"/>
      <c r="S4" s="6"/>
      <c r="T4" s="6"/>
      <c r="U4" s="6"/>
      <c r="V4" s="6"/>
      <c r="W4" s="6"/>
      <c r="X4" s="6"/>
      <c r="Y4" s="6"/>
      <c r="Z4" s="6"/>
    </row>
    <row r="5" hidden="1">
      <c r="A5" s="4">
        <v>4.0</v>
      </c>
      <c r="B5" s="4"/>
      <c r="C5" s="6" t="s">
        <v>52</v>
      </c>
      <c r="D5" s="6"/>
      <c r="E5" s="6"/>
      <c r="F5" s="6"/>
      <c r="G5" s="6" t="s">
        <v>53</v>
      </c>
      <c r="H5" s="6"/>
      <c r="I5" s="6" t="s">
        <v>29</v>
      </c>
      <c r="J5" s="6"/>
      <c r="K5" s="11"/>
      <c r="L5" s="6"/>
      <c r="M5" s="11"/>
      <c r="N5" s="6" t="s">
        <v>54</v>
      </c>
      <c r="O5" s="17" t="s">
        <v>55</v>
      </c>
      <c r="P5" s="6" t="s">
        <v>56</v>
      </c>
      <c r="Q5" s="6" t="s">
        <v>42</v>
      </c>
      <c r="R5" s="6"/>
      <c r="S5" s="6"/>
      <c r="T5" s="6"/>
      <c r="U5" s="6"/>
      <c r="V5" s="6"/>
      <c r="W5" s="6"/>
      <c r="X5" s="6"/>
      <c r="Y5" s="6"/>
      <c r="Z5" s="6"/>
    </row>
    <row r="6" hidden="1">
      <c r="A6" s="4">
        <v>5.0</v>
      </c>
      <c r="B6" s="4"/>
      <c r="C6" s="6" t="s">
        <v>57</v>
      </c>
      <c r="D6" s="6"/>
      <c r="E6" s="6"/>
      <c r="F6" s="6"/>
      <c r="G6" s="6" t="s">
        <v>58</v>
      </c>
      <c r="H6" s="6"/>
      <c r="I6" s="6" t="s">
        <v>29</v>
      </c>
      <c r="J6" s="6" t="s">
        <v>30</v>
      </c>
      <c r="K6" s="8" t="s">
        <v>32</v>
      </c>
      <c r="L6" s="6" t="s">
        <v>34</v>
      </c>
      <c r="M6" s="11" t="str">
        <f t="shared" ref="M6:M7" si="2">K6</f>
        <v>24/02/2023</v>
      </c>
      <c r="N6" s="6" t="s">
        <v>54</v>
      </c>
      <c r="O6" s="17" t="s">
        <v>55</v>
      </c>
      <c r="P6" s="6" t="s">
        <v>61</v>
      </c>
      <c r="Q6" s="6" t="s">
        <v>42</v>
      </c>
      <c r="R6" s="6"/>
      <c r="S6" s="6"/>
      <c r="T6" s="6"/>
      <c r="U6" s="6"/>
      <c r="V6" s="6"/>
      <c r="W6" s="6"/>
      <c r="X6" s="6"/>
      <c r="Y6" s="6"/>
      <c r="Z6" s="6"/>
    </row>
    <row r="7" hidden="1">
      <c r="A7" s="4">
        <v>6.0</v>
      </c>
      <c r="B7" s="4"/>
      <c r="C7" s="6" t="s">
        <v>65</v>
      </c>
      <c r="D7" s="6"/>
      <c r="E7" s="6"/>
      <c r="F7" s="6"/>
      <c r="G7" s="6" t="s">
        <v>68</v>
      </c>
      <c r="H7" s="6" t="s">
        <v>69</v>
      </c>
      <c r="I7" s="6" t="s">
        <v>29</v>
      </c>
      <c r="J7" s="6" t="s">
        <v>70</v>
      </c>
      <c r="K7" s="8" t="s">
        <v>71</v>
      </c>
      <c r="L7" s="6" t="s">
        <v>34</v>
      </c>
      <c r="M7" s="11" t="str">
        <f t="shared" si="2"/>
        <v>29/9/2022</v>
      </c>
      <c r="N7" s="6" t="s">
        <v>54</v>
      </c>
      <c r="O7" s="17" t="s">
        <v>55</v>
      </c>
      <c r="P7" s="6" t="s">
        <v>72</v>
      </c>
      <c r="Q7" s="6" t="s">
        <v>42</v>
      </c>
      <c r="R7" s="6"/>
      <c r="S7" s="6"/>
      <c r="T7" s="6"/>
      <c r="U7" s="6"/>
      <c r="V7" s="6"/>
      <c r="W7" s="6"/>
      <c r="X7" s="6"/>
      <c r="Y7" s="6"/>
      <c r="Z7" s="6"/>
    </row>
    <row r="8" hidden="1">
      <c r="A8" s="4">
        <v>7.0</v>
      </c>
      <c r="B8" s="9"/>
      <c r="C8" s="19" t="s">
        <v>74</v>
      </c>
      <c r="D8" s="19"/>
      <c r="E8" s="19"/>
      <c r="F8" s="19"/>
      <c r="G8" s="13"/>
      <c r="H8" s="13"/>
      <c r="I8" s="19" t="s">
        <v>75</v>
      </c>
      <c r="J8" s="13"/>
      <c r="K8" s="15"/>
      <c r="L8" s="13" t="s">
        <v>34</v>
      </c>
      <c r="M8" s="11"/>
      <c r="N8" s="13"/>
      <c r="O8" s="13"/>
      <c r="P8" s="13"/>
      <c r="Q8" s="13"/>
      <c r="R8" s="13"/>
      <c r="S8" s="13" t="s">
        <v>76</v>
      </c>
      <c r="T8" s="13"/>
      <c r="U8" s="13"/>
      <c r="V8" s="13"/>
      <c r="W8" s="13"/>
      <c r="X8" s="13"/>
      <c r="Y8" s="13"/>
      <c r="Z8" s="13"/>
    </row>
    <row r="9" hidden="1">
      <c r="A9" s="4">
        <v>8.0</v>
      </c>
      <c r="B9" s="9"/>
      <c r="C9" s="19" t="s">
        <v>77</v>
      </c>
      <c r="D9" s="19"/>
      <c r="E9" s="19"/>
      <c r="F9" s="19"/>
      <c r="G9" s="13"/>
      <c r="H9" s="13"/>
      <c r="I9" s="19" t="s">
        <v>75</v>
      </c>
      <c r="J9" s="13"/>
      <c r="K9" s="15"/>
      <c r="L9" s="13" t="s">
        <v>34</v>
      </c>
      <c r="M9" s="11"/>
      <c r="N9" s="13"/>
      <c r="O9" s="13"/>
      <c r="P9" s="13"/>
      <c r="Q9" s="13"/>
      <c r="R9" s="13"/>
      <c r="S9" s="13" t="s">
        <v>76</v>
      </c>
      <c r="T9" s="13"/>
      <c r="U9" s="13"/>
      <c r="V9" s="13"/>
      <c r="W9" s="13"/>
      <c r="X9" s="13"/>
      <c r="Y9" s="13"/>
      <c r="Z9" s="13"/>
    </row>
    <row r="10" hidden="1">
      <c r="A10" s="4">
        <v>9.0</v>
      </c>
      <c r="B10" s="9"/>
      <c r="C10" s="19" t="s">
        <v>79</v>
      </c>
      <c r="D10" s="19"/>
      <c r="E10" s="19"/>
      <c r="F10" s="19"/>
      <c r="G10" s="13"/>
      <c r="H10" s="13"/>
      <c r="I10" s="19" t="s">
        <v>75</v>
      </c>
      <c r="J10" s="13"/>
      <c r="K10" s="15"/>
      <c r="L10" s="13" t="s">
        <v>34</v>
      </c>
      <c r="M10" s="11"/>
      <c r="N10" s="13"/>
      <c r="O10" s="13"/>
      <c r="P10" s="13"/>
      <c r="Q10" s="13"/>
      <c r="R10" s="13"/>
      <c r="S10" s="13" t="s">
        <v>76</v>
      </c>
      <c r="T10" s="13"/>
      <c r="U10" s="13"/>
      <c r="V10" s="13"/>
      <c r="W10" s="13"/>
      <c r="X10" s="13"/>
      <c r="Y10" s="13"/>
      <c r="Z10" s="13"/>
    </row>
    <row r="11" hidden="1">
      <c r="A11" s="4">
        <v>10.0</v>
      </c>
      <c r="B11" s="9"/>
      <c r="C11" s="19" t="s">
        <v>80</v>
      </c>
      <c r="D11" s="19"/>
      <c r="E11" s="19"/>
      <c r="F11" s="19"/>
      <c r="G11" s="13"/>
      <c r="H11" s="13"/>
      <c r="I11" s="19" t="s">
        <v>81</v>
      </c>
      <c r="J11" s="13"/>
      <c r="K11" s="15"/>
      <c r="L11" s="13" t="s">
        <v>34</v>
      </c>
      <c r="M11" s="11"/>
      <c r="N11" s="13"/>
      <c r="O11" s="13"/>
      <c r="P11" s="13"/>
      <c r="Q11" s="13"/>
      <c r="R11" s="13"/>
      <c r="S11" s="13" t="s">
        <v>76</v>
      </c>
      <c r="T11" s="13"/>
      <c r="U11" s="13"/>
      <c r="V11" s="13"/>
      <c r="W11" s="13"/>
      <c r="X11" s="13"/>
      <c r="Y11" s="13"/>
      <c r="Z11" s="13"/>
    </row>
    <row r="12" hidden="1">
      <c r="A12" s="4">
        <v>11.0</v>
      </c>
      <c r="B12" s="9"/>
      <c r="C12" s="19" t="s">
        <v>85</v>
      </c>
      <c r="D12" s="19"/>
      <c r="E12" s="19"/>
      <c r="F12" s="19"/>
      <c r="G12" s="13"/>
      <c r="H12" s="13"/>
      <c r="I12" s="19" t="s">
        <v>86</v>
      </c>
      <c r="J12" s="13" t="s">
        <v>70</v>
      </c>
      <c r="K12" s="14" t="s">
        <v>71</v>
      </c>
      <c r="L12" s="13" t="s">
        <v>87</v>
      </c>
      <c r="M12" s="11" t="str">
        <f t="shared" ref="M12:M17" si="3">K12</f>
        <v>29/9/2022</v>
      </c>
      <c r="N12" s="13"/>
      <c r="O12" s="13"/>
      <c r="P12" s="13"/>
      <c r="Q12" s="13"/>
      <c r="R12" s="13"/>
      <c r="S12" s="13" t="s">
        <v>76</v>
      </c>
      <c r="T12" s="13"/>
      <c r="U12" s="13"/>
      <c r="V12" s="13"/>
      <c r="W12" s="13"/>
      <c r="X12" s="13"/>
      <c r="Y12" s="13"/>
      <c r="Z12" s="13"/>
    </row>
    <row r="13" hidden="1">
      <c r="A13" s="4">
        <v>12.0</v>
      </c>
      <c r="B13" s="4"/>
      <c r="C13" s="6" t="s">
        <v>89</v>
      </c>
      <c r="D13" s="6"/>
      <c r="E13" s="6"/>
      <c r="F13" s="6"/>
      <c r="G13" s="6" t="s">
        <v>90</v>
      </c>
      <c r="H13" s="6"/>
      <c r="I13" s="6" t="s">
        <v>91</v>
      </c>
      <c r="J13" s="6" t="s">
        <v>70</v>
      </c>
      <c r="K13" s="8" t="s">
        <v>71</v>
      </c>
      <c r="L13" s="6" t="s">
        <v>92</v>
      </c>
      <c r="M13" s="11" t="str">
        <f t="shared" si="3"/>
        <v>29/9/2022</v>
      </c>
      <c r="N13" s="6" t="s">
        <v>54</v>
      </c>
      <c r="O13" s="17" t="s">
        <v>55</v>
      </c>
      <c r="P13" s="6" t="s">
        <v>93</v>
      </c>
      <c r="Q13" s="6" t="s">
        <v>42</v>
      </c>
      <c r="R13" s="6"/>
      <c r="S13" s="6"/>
      <c r="T13" s="6"/>
      <c r="U13" s="6"/>
      <c r="V13" s="6"/>
      <c r="W13" s="6"/>
      <c r="X13" s="6"/>
      <c r="Y13" s="6"/>
      <c r="Z13" s="6"/>
    </row>
    <row r="14" hidden="1">
      <c r="A14" s="4">
        <v>13.0</v>
      </c>
      <c r="B14" s="4"/>
      <c r="C14" s="6" t="s">
        <v>95</v>
      </c>
      <c r="D14" s="6"/>
      <c r="E14" s="6"/>
      <c r="F14" s="6"/>
      <c r="G14" s="6" t="s">
        <v>96</v>
      </c>
      <c r="H14" s="6" t="s">
        <v>98</v>
      </c>
      <c r="I14" s="6" t="s">
        <v>91</v>
      </c>
      <c r="J14" s="6" t="s">
        <v>70</v>
      </c>
      <c r="K14" s="8" t="s">
        <v>71</v>
      </c>
      <c r="L14" s="6" t="s">
        <v>92</v>
      </c>
      <c r="M14" s="11" t="str">
        <f t="shared" si="3"/>
        <v>29/9/2022</v>
      </c>
      <c r="N14" s="6" t="s">
        <v>54</v>
      </c>
      <c r="O14" s="17" t="s">
        <v>55</v>
      </c>
      <c r="P14" s="6" t="s">
        <v>102</v>
      </c>
      <c r="Q14" s="6" t="s">
        <v>42</v>
      </c>
      <c r="R14" s="6"/>
      <c r="S14" s="6"/>
      <c r="T14" s="6"/>
      <c r="U14" s="6"/>
      <c r="V14" s="6"/>
      <c r="W14" s="6"/>
      <c r="X14" s="6"/>
      <c r="Y14" s="6"/>
      <c r="Z14" s="6"/>
    </row>
    <row r="15" hidden="1">
      <c r="A15" s="4">
        <v>14.0</v>
      </c>
      <c r="B15" s="4"/>
      <c r="C15" s="13" t="s">
        <v>103</v>
      </c>
      <c r="D15" s="13"/>
      <c r="E15" s="13"/>
      <c r="F15" s="13"/>
      <c r="G15" s="6" t="s">
        <v>104</v>
      </c>
      <c r="H15" s="6" t="s">
        <v>45</v>
      </c>
      <c r="I15" s="6" t="s">
        <v>91</v>
      </c>
      <c r="J15" s="6" t="s">
        <v>70</v>
      </c>
      <c r="K15" s="8" t="s">
        <v>71</v>
      </c>
      <c r="L15" s="6" t="s">
        <v>92</v>
      </c>
      <c r="M15" s="11" t="str">
        <f t="shared" si="3"/>
        <v>29/9/2022</v>
      </c>
      <c r="N15" s="6" t="s">
        <v>54</v>
      </c>
      <c r="O15" s="17" t="s">
        <v>55</v>
      </c>
      <c r="P15" s="6" t="s">
        <v>108</v>
      </c>
      <c r="Q15" s="6" t="s">
        <v>42</v>
      </c>
      <c r="R15" s="6"/>
      <c r="S15" s="6"/>
      <c r="T15" s="6"/>
      <c r="U15" s="6"/>
      <c r="V15" s="6"/>
      <c r="W15" s="6"/>
      <c r="X15" s="6"/>
      <c r="Y15" s="6"/>
      <c r="Z15" s="6"/>
    </row>
    <row r="16" hidden="1">
      <c r="A16" s="4">
        <v>15.0</v>
      </c>
      <c r="B16" s="4"/>
      <c r="C16" s="6" t="s">
        <v>112</v>
      </c>
      <c r="D16" s="6"/>
      <c r="E16" s="6"/>
      <c r="F16" s="6"/>
      <c r="G16" s="6" t="s">
        <v>114</v>
      </c>
      <c r="H16" s="6" t="s">
        <v>115</v>
      </c>
      <c r="I16" s="6" t="s">
        <v>91</v>
      </c>
      <c r="J16" s="6" t="s">
        <v>70</v>
      </c>
      <c r="K16" s="8" t="s">
        <v>71</v>
      </c>
      <c r="L16" s="6" t="s">
        <v>92</v>
      </c>
      <c r="M16" s="11" t="str">
        <f t="shared" si="3"/>
        <v>29/9/2022</v>
      </c>
      <c r="N16" s="6" t="s">
        <v>54</v>
      </c>
      <c r="O16" s="17" t="s">
        <v>55</v>
      </c>
      <c r="P16" s="6" t="s">
        <v>116</v>
      </c>
      <c r="Q16" s="6" t="s">
        <v>42</v>
      </c>
      <c r="R16" s="6"/>
      <c r="S16" s="6"/>
      <c r="T16" s="6"/>
      <c r="U16" s="6"/>
      <c r="V16" s="6"/>
      <c r="W16" s="6"/>
      <c r="X16" s="6"/>
      <c r="Y16" s="6"/>
      <c r="Z16" s="6"/>
    </row>
    <row r="17" hidden="1">
      <c r="A17" s="4">
        <v>16.0</v>
      </c>
      <c r="B17" s="4"/>
      <c r="C17" s="6" t="s">
        <v>120</v>
      </c>
      <c r="D17" s="6"/>
      <c r="E17" s="6"/>
      <c r="F17" s="6"/>
      <c r="G17" s="6" t="s">
        <v>121</v>
      </c>
      <c r="H17" s="6" t="s">
        <v>122</v>
      </c>
      <c r="I17" s="6" t="s">
        <v>91</v>
      </c>
      <c r="J17" s="6" t="s">
        <v>70</v>
      </c>
      <c r="K17" s="8" t="s">
        <v>71</v>
      </c>
      <c r="L17" s="6" t="s">
        <v>92</v>
      </c>
      <c r="M17" s="11" t="str">
        <f t="shared" si="3"/>
        <v>29/9/2022</v>
      </c>
      <c r="N17" s="6" t="s">
        <v>54</v>
      </c>
      <c r="O17" s="17" t="s">
        <v>55</v>
      </c>
      <c r="P17" s="6" t="s">
        <v>124</v>
      </c>
      <c r="Q17" s="6" t="s">
        <v>42</v>
      </c>
      <c r="R17" s="6"/>
      <c r="S17" s="6"/>
      <c r="T17" s="6"/>
      <c r="U17" s="6"/>
      <c r="V17" s="6"/>
      <c r="W17" s="6"/>
      <c r="X17" s="6"/>
      <c r="Y17" s="6"/>
      <c r="Z17" s="6"/>
    </row>
    <row r="18" hidden="1">
      <c r="A18" s="4">
        <v>17.0</v>
      </c>
      <c r="B18" s="4"/>
      <c r="C18" s="6" t="s">
        <v>125</v>
      </c>
      <c r="D18" s="6"/>
      <c r="E18" s="6"/>
      <c r="F18" s="6"/>
      <c r="G18" s="6"/>
      <c r="H18" s="6" t="s">
        <v>115</v>
      </c>
      <c r="I18" s="6" t="s">
        <v>86</v>
      </c>
      <c r="J18" s="6"/>
      <c r="K18" s="11"/>
      <c r="L18" s="6"/>
      <c r="M18" s="11"/>
      <c r="N18" s="5" t="s">
        <v>40</v>
      </c>
      <c r="O18" s="12" t="s">
        <v>41</v>
      </c>
      <c r="P18" s="5" t="s">
        <v>145</v>
      </c>
      <c r="Q18" s="6" t="s">
        <v>42</v>
      </c>
      <c r="R18" s="6"/>
      <c r="S18" s="6"/>
      <c r="T18" s="6"/>
      <c r="U18" s="6"/>
      <c r="V18" s="6"/>
      <c r="W18" s="6"/>
      <c r="X18" s="6"/>
      <c r="Y18" s="6"/>
      <c r="Z18" s="6"/>
    </row>
    <row r="19" ht="18.75" hidden="1" customHeight="1">
      <c r="A19" s="9"/>
      <c r="B19" s="37"/>
      <c r="C19" s="38" t="s">
        <v>151</v>
      </c>
      <c r="D19" s="38"/>
      <c r="E19" s="38"/>
      <c r="F19" s="38"/>
      <c r="G19" s="38" t="s">
        <v>153</v>
      </c>
      <c r="H19" s="38"/>
      <c r="I19" s="38" t="s">
        <v>91</v>
      </c>
      <c r="J19" s="38"/>
      <c r="K19" s="38"/>
      <c r="L19" s="39"/>
      <c r="M19" s="38"/>
      <c r="N19" s="5" t="s">
        <v>40</v>
      </c>
      <c r="O19" s="12" t="s">
        <v>41</v>
      </c>
      <c r="P19" s="5" t="s">
        <v>157</v>
      </c>
      <c r="Q19" s="6" t="s">
        <v>42</v>
      </c>
      <c r="R19" s="6"/>
      <c r="S19" s="38"/>
      <c r="T19" s="38"/>
      <c r="U19" s="38"/>
      <c r="V19" s="38"/>
      <c r="W19" s="38"/>
      <c r="X19" s="38"/>
      <c r="Y19" s="38"/>
      <c r="Z19" s="38"/>
    </row>
    <row r="20">
      <c r="A20" s="4">
        <v>18.0</v>
      </c>
      <c r="B20" s="29" t="str">
        <f t="shared" ref="B20:B107" si="4">VLOOKUP(C20,#REF!,3,0)</f>
        <v>#REF!</v>
      </c>
      <c r="C20" s="53" t="s">
        <v>131</v>
      </c>
      <c r="D20" s="30" t="str">
        <f t="shared" ref="D20:D107" si="5">VLOOKUP(C20,#REF!,4,0)</f>
        <v>#REF!</v>
      </c>
      <c r="E20" s="30"/>
      <c r="F20" s="30"/>
      <c r="G20" s="30" t="s">
        <v>132</v>
      </c>
      <c r="H20" s="30" t="s">
        <v>122</v>
      </c>
      <c r="I20" s="30" t="s">
        <v>133</v>
      </c>
      <c r="J20" s="30" t="s">
        <v>70</v>
      </c>
      <c r="K20" s="31" t="s">
        <v>71</v>
      </c>
      <c r="L20" s="30" t="s">
        <v>281</v>
      </c>
      <c r="M20" s="11" t="str">
        <f>K20</f>
        <v>29/9/2022</v>
      </c>
      <c r="N20" s="30" t="s">
        <v>54</v>
      </c>
      <c r="O20" s="32" t="s">
        <v>55</v>
      </c>
      <c r="P20" s="30" t="s">
        <v>138</v>
      </c>
      <c r="Q20" s="30" t="s">
        <v>42</v>
      </c>
      <c r="R20" s="30" t="str">
        <f t="shared" ref="R20:R107" si="6">VLOOKUP(C20,#REF!,6,0)</f>
        <v>#REF!</v>
      </c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4">
        <v>19.0</v>
      </c>
      <c r="B21" s="29" t="str">
        <f t="shared" si="4"/>
        <v>#REF!</v>
      </c>
      <c r="C21" s="53" t="s">
        <v>141</v>
      </c>
      <c r="D21" s="30" t="str">
        <f t="shared" si="5"/>
        <v>#REF!</v>
      </c>
      <c r="E21" s="30"/>
      <c r="F21" s="30"/>
      <c r="G21" s="30" t="s">
        <v>142</v>
      </c>
      <c r="H21" s="30"/>
      <c r="I21" s="30" t="s">
        <v>133</v>
      </c>
      <c r="J21" s="44"/>
      <c r="K21" s="36"/>
      <c r="L21" s="30" t="s">
        <v>281</v>
      </c>
      <c r="M21" s="11"/>
      <c r="N21" s="30" t="s">
        <v>54</v>
      </c>
      <c r="O21" s="32" t="s">
        <v>55</v>
      </c>
      <c r="P21" s="30" t="s">
        <v>144</v>
      </c>
      <c r="Q21" s="30" t="s">
        <v>42</v>
      </c>
      <c r="R21" s="30" t="str">
        <f t="shared" si="6"/>
        <v>#REF!</v>
      </c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4">
        <v>20.0</v>
      </c>
      <c r="B22" s="29" t="str">
        <f t="shared" si="4"/>
        <v>#REF!</v>
      </c>
      <c r="C22" s="54" t="s">
        <v>147</v>
      </c>
      <c r="D22" s="30" t="str">
        <f t="shared" si="5"/>
        <v>#REF!</v>
      </c>
      <c r="E22" s="30"/>
      <c r="F22" s="30"/>
      <c r="G22" s="30" t="s">
        <v>150</v>
      </c>
      <c r="H22" s="30" t="s">
        <v>98</v>
      </c>
      <c r="I22" s="30" t="s">
        <v>133</v>
      </c>
      <c r="J22" s="44"/>
      <c r="K22" s="36"/>
      <c r="L22" s="30" t="s">
        <v>281</v>
      </c>
      <c r="M22" s="11"/>
      <c r="N22" s="30" t="s">
        <v>54</v>
      </c>
      <c r="O22" s="32" t="s">
        <v>55</v>
      </c>
      <c r="P22" s="30" t="s">
        <v>152</v>
      </c>
      <c r="Q22" s="30" t="s">
        <v>42</v>
      </c>
      <c r="R22" s="30" t="str">
        <f t="shared" si="6"/>
        <v>#REF!</v>
      </c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4">
        <v>21.0</v>
      </c>
      <c r="B23" s="29" t="str">
        <f t="shared" si="4"/>
        <v>#REF!</v>
      </c>
      <c r="C23" s="54" t="s">
        <v>156</v>
      </c>
      <c r="D23" s="30" t="str">
        <f t="shared" si="5"/>
        <v>#REF!</v>
      </c>
      <c r="E23" s="30"/>
      <c r="F23" s="30"/>
      <c r="G23" s="30" t="s">
        <v>158</v>
      </c>
      <c r="H23" s="30" t="s">
        <v>115</v>
      </c>
      <c r="I23" s="30" t="s">
        <v>133</v>
      </c>
      <c r="J23" s="44"/>
      <c r="K23" s="36"/>
      <c r="L23" s="30" t="s">
        <v>281</v>
      </c>
      <c r="M23" s="11"/>
      <c r="N23" s="30" t="s">
        <v>54</v>
      </c>
      <c r="O23" s="32" t="s">
        <v>55</v>
      </c>
      <c r="P23" s="30" t="s">
        <v>160</v>
      </c>
      <c r="Q23" s="30" t="s">
        <v>42</v>
      </c>
      <c r="R23" s="30" t="str">
        <f t="shared" si="6"/>
        <v>#REF!</v>
      </c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4">
        <v>22.0</v>
      </c>
      <c r="B24" s="29" t="str">
        <f t="shared" si="4"/>
        <v>#REF!</v>
      </c>
      <c r="C24" s="53" t="s">
        <v>162</v>
      </c>
      <c r="D24" s="30" t="str">
        <f t="shared" si="5"/>
        <v>#REF!</v>
      </c>
      <c r="E24" s="30"/>
      <c r="F24" s="30"/>
      <c r="G24" s="30" t="s">
        <v>163</v>
      </c>
      <c r="H24" s="30"/>
      <c r="I24" s="30" t="s">
        <v>83</v>
      </c>
      <c r="J24" s="30" t="s">
        <v>30</v>
      </c>
      <c r="K24" s="31" t="s">
        <v>32</v>
      </c>
      <c r="L24" s="30" t="s">
        <v>84</v>
      </c>
      <c r="M24" s="11" t="str">
        <f t="shared" ref="M24:M27" si="7">K24</f>
        <v>24/02/2023</v>
      </c>
      <c r="N24" s="30" t="s">
        <v>54</v>
      </c>
      <c r="O24" s="32" t="s">
        <v>55</v>
      </c>
      <c r="P24" s="30" t="s">
        <v>165</v>
      </c>
      <c r="Q24" s="30" t="s">
        <v>42</v>
      </c>
      <c r="R24" s="30" t="str">
        <f t="shared" si="6"/>
        <v>#REF!</v>
      </c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4">
        <v>23.0</v>
      </c>
      <c r="B25" s="29" t="str">
        <f t="shared" si="4"/>
        <v>#REF!</v>
      </c>
      <c r="C25" s="53" t="s">
        <v>167</v>
      </c>
      <c r="D25" s="30" t="str">
        <f t="shared" si="5"/>
        <v>#REF!</v>
      </c>
      <c r="E25" s="30"/>
      <c r="F25" s="30"/>
      <c r="G25" s="30" t="s">
        <v>168</v>
      </c>
      <c r="H25" s="30" t="s">
        <v>115</v>
      </c>
      <c r="I25" s="30" t="s">
        <v>83</v>
      </c>
      <c r="J25" s="30" t="s">
        <v>30</v>
      </c>
      <c r="K25" s="31" t="s">
        <v>32</v>
      </c>
      <c r="L25" s="30" t="s">
        <v>84</v>
      </c>
      <c r="M25" s="11" t="str">
        <f t="shared" si="7"/>
        <v>24/02/2023</v>
      </c>
      <c r="N25" s="30" t="s">
        <v>54</v>
      </c>
      <c r="O25" s="32" t="s">
        <v>55</v>
      </c>
      <c r="P25" s="30" t="s">
        <v>169</v>
      </c>
      <c r="Q25" s="30" t="s">
        <v>42</v>
      </c>
      <c r="R25" s="30" t="str">
        <f t="shared" si="6"/>
        <v>#REF!</v>
      </c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4">
        <v>24.0</v>
      </c>
      <c r="B26" s="29" t="str">
        <f t="shared" si="4"/>
        <v>#REF!</v>
      </c>
      <c r="C26" s="53" t="s">
        <v>282</v>
      </c>
      <c r="D26" s="30" t="str">
        <f t="shared" si="5"/>
        <v>#REF!</v>
      </c>
      <c r="E26" s="30"/>
      <c r="F26" s="30"/>
      <c r="G26" s="30" t="s">
        <v>173</v>
      </c>
      <c r="H26" s="30"/>
      <c r="I26" s="30" t="s">
        <v>60</v>
      </c>
      <c r="J26" s="30" t="s">
        <v>70</v>
      </c>
      <c r="K26" s="31" t="s">
        <v>71</v>
      </c>
      <c r="L26" s="30" t="s">
        <v>62</v>
      </c>
      <c r="M26" s="11" t="str">
        <f t="shared" si="7"/>
        <v>29/9/2022</v>
      </c>
      <c r="N26" s="30" t="s">
        <v>54</v>
      </c>
      <c r="O26" s="32" t="s">
        <v>55</v>
      </c>
      <c r="P26" s="30" t="s">
        <v>174</v>
      </c>
      <c r="Q26" s="30" t="s">
        <v>42</v>
      </c>
      <c r="R26" s="30" t="str">
        <f t="shared" si="6"/>
        <v>#REF!</v>
      </c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4">
        <v>25.0</v>
      </c>
      <c r="B27" s="29" t="str">
        <f t="shared" si="4"/>
        <v>#REF!</v>
      </c>
      <c r="C27" s="53" t="s">
        <v>176</v>
      </c>
      <c r="D27" s="30" t="str">
        <f t="shared" si="5"/>
        <v>#REF!</v>
      </c>
      <c r="E27" s="30"/>
      <c r="F27" s="30"/>
      <c r="G27" s="30" t="s">
        <v>177</v>
      </c>
      <c r="H27" s="30" t="s">
        <v>45</v>
      </c>
      <c r="I27" s="30" t="s">
        <v>60</v>
      </c>
      <c r="J27" s="30" t="s">
        <v>70</v>
      </c>
      <c r="K27" s="31" t="s">
        <v>71</v>
      </c>
      <c r="L27" s="30" t="s">
        <v>62</v>
      </c>
      <c r="M27" s="11" t="str">
        <f t="shared" si="7"/>
        <v>29/9/2022</v>
      </c>
      <c r="N27" s="30" t="s">
        <v>54</v>
      </c>
      <c r="O27" s="32" t="s">
        <v>55</v>
      </c>
      <c r="P27" s="30" t="s">
        <v>178</v>
      </c>
      <c r="Q27" s="30" t="s">
        <v>42</v>
      </c>
      <c r="R27" s="30" t="str">
        <f t="shared" si="6"/>
        <v>#REF!</v>
      </c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4">
        <v>26.0</v>
      </c>
      <c r="B28" s="29" t="str">
        <f t="shared" si="4"/>
        <v>#REF!</v>
      </c>
      <c r="C28" s="53" t="s">
        <v>179</v>
      </c>
      <c r="D28" s="30" t="str">
        <f t="shared" si="5"/>
        <v>#REF!</v>
      </c>
      <c r="E28" s="30"/>
      <c r="F28" s="30"/>
      <c r="G28" s="30" t="s">
        <v>180</v>
      </c>
      <c r="H28" s="30" t="s">
        <v>115</v>
      </c>
      <c r="I28" s="30" t="s">
        <v>60</v>
      </c>
      <c r="J28" s="30" t="s">
        <v>46</v>
      </c>
      <c r="K28" s="31" t="s">
        <v>47</v>
      </c>
      <c r="L28" s="38" t="s">
        <v>181</v>
      </c>
      <c r="M28" s="14" t="s">
        <v>149</v>
      </c>
      <c r="N28" s="30" t="s">
        <v>54</v>
      </c>
      <c r="O28" s="32" t="s">
        <v>55</v>
      </c>
      <c r="P28" s="30" t="s">
        <v>182</v>
      </c>
      <c r="Q28" s="30" t="s">
        <v>42</v>
      </c>
      <c r="R28" s="30" t="str">
        <f t="shared" si="6"/>
        <v>#REF!</v>
      </c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4">
        <v>27.0</v>
      </c>
      <c r="B29" s="29" t="str">
        <f t="shared" si="4"/>
        <v>#REF!</v>
      </c>
      <c r="C29" s="55" t="s">
        <v>183</v>
      </c>
      <c r="D29" s="30" t="str">
        <f t="shared" si="5"/>
        <v>#REF!</v>
      </c>
      <c r="E29" s="38"/>
      <c r="F29" s="38"/>
      <c r="G29" s="38" t="s">
        <v>184</v>
      </c>
      <c r="H29" s="38" t="s">
        <v>122</v>
      </c>
      <c r="I29" s="38" t="s">
        <v>60</v>
      </c>
      <c r="J29" s="38" t="s">
        <v>46</v>
      </c>
      <c r="K29" s="41" t="s">
        <v>47</v>
      </c>
      <c r="L29" s="38" t="s">
        <v>181</v>
      </c>
      <c r="M29" s="14" t="s">
        <v>149</v>
      </c>
      <c r="N29" s="38" t="s">
        <v>54</v>
      </c>
      <c r="O29" s="42" t="s">
        <v>55</v>
      </c>
      <c r="P29" s="38" t="s">
        <v>186</v>
      </c>
      <c r="Q29" s="38" t="s">
        <v>42</v>
      </c>
      <c r="R29" s="30" t="str">
        <f t="shared" si="6"/>
        <v>#REF!</v>
      </c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4">
        <v>28.0</v>
      </c>
      <c r="B30" s="29" t="str">
        <f t="shared" si="4"/>
        <v>#REF!</v>
      </c>
      <c r="C30" s="56" t="s">
        <v>188</v>
      </c>
      <c r="D30" s="30" t="str">
        <f t="shared" si="5"/>
        <v>#REF!</v>
      </c>
      <c r="E30" s="38"/>
      <c r="F30" s="38"/>
      <c r="G30" s="38" t="s">
        <v>189</v>
      </c>
      <c r="H30" s="38" t="s">
        <v>190</v>
      </c>
      <c r="I30" s="38" t="s">
        <v>60</v>
      </c>
      <c r="J30" s="38" t="s">
        <v>46</v>
      </c>
      <c r="K30" s="41" t="s">
        <v>47</v>
      </c>
      <c r="L30" s="38" t="s">
        <v>181</v>
      </c>
      <c r="M30" s="14" t="s">
        <v>149</v>
      </c>
      <c r="N30" s="38" t="s">
        <v>54</v>
      </c>
      <c r="O30" s="42" t="s">
        <v>55</v>
      </c>
      <c r="P30" s="38" t="s">
        <v>191</v>
      </c>
      <c r="Q30" s="38" t="s">
        <v>42</v>
      </c>
      <c r="R30" s="30" t="str">
        <f t="shared" si="6"/>
        <v>#REF!</v>
      </c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4">
        <v>29.0</v>
      </c>
      <c r="B31" s="29" t="str">
        <f t="shared" si="4"/>
        <v>#REF!</v>
      </c>
      <c r="C31" s="53" t="s">
        <v>192</v>
      </c>
      <c r="D31" s="30" t="str">
        <f t="shared" si="5"/>
        <v>#REF!</v>
      </c>
      <c r="E31" s="30"/>
      <c r="F31" s="30"/>
      <c r="G31" s="30" t="s">
        <v>193</v>
      </c>
      <c r="H31" s="30"/>
      <c r="I31" s="30" t="s">
        <v>97</v>
      </c>
      <c r="J31" s="30" t="s">
        <v>30</v>
      </c>
      <c r="K31" s="31" t="s">
        <v>32</v>
      </c>
      <c r="L31" s="30" t="s">
        <v>101</v>
      </c>
      <c r="M31" s="11" t="str">
        <f t="shared" ref="M31:M50" si="8">K31</f>
        <v>24/02/2023</v>
      </c>
      <c r="N31" s="30" t="s">
        <v>54</v>
      </c>
      <c r="O31" s="32" t="s">
        <v>55</v>
      </c>
      <c r="P31" s="30" t="s">
        <v>194</v>
      </c>
      <c r="Q31" s="30" t="s">
        <v>42</v>
      </c>
      <c r="R31" s="30" t="str">
        <f t="shared" si="6"/>
        <v>#REF!</v>
      </c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4">
        <v>30.0</v>
      </c>
      <c r="B32" s="29" t="str">
        <f t="shared" si="4"/>
        <v>#REF!</v>
      </c>
      <c r="C32" s="53" t="s">
        <v>195</v>
      </c>
      <c r="D32" s="30" t="str">
        <f t="shared" si="5"/>
        <v>#REF!</v>
      </c>
      <c r="E32" s="30"/>
      <c r="F32" s="30"/>
      <c r="G32" s="30" t="s">
        <v>196</v>
      </c>
      <c r="H32" s="30" t="s">
        <v>98</v>
      </c>
      <c r="I32" s="30" t="s">
        <v>97</v>
      </c>
      <c r="J32" s="30" t="s">
        <v>30</v>
      </c>
      <c r="K32" s="31" t="s">
        <v>32</v>
      </c>
      <c r="L32" s="30" t="s">
        <v>101</v>
      </c>
      <c r="M32" s="11" t="str">
        <f t="shared" si="8"/>
        <v>24/02/2023</v>
      </c>
      <c r="N32" s="30" t="s">
        <v>54</v>
      </c>
      <c r="O32" s="32" t="s">
        <v>55</v>
      </c>
      <c r="P32" s="30" t="s">
        <v>197</v>
      </c>
      <c r="Q32" s="30" t="s">
        <v>42</v>
      </c>
      <c r="R32" s="30" t="str">
        <f t="shared" si="6"/>
        <v>#REF!</v>
      </c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4">
        <v>31.0</v>
      </c>
      <c r="B33" s="29" t="str">
        <f t="shared" si="4"/>
        <v>#REF!</v>
      </c>
      <c r="C33" s="53" t="s">
        <v>198</v>
      </c>
      <c r="D33" s="30" t="str">
        <f t="shared" si="5"/>
        <v>#REF!</v>
      </c>
      <c r="E33" s="30"/>
      <c r="F33" s="30"/>
      <c r="G33" s="30" t="s">
        <v>199</v>
      </c>
      <c r="H33" s="30" t="s">
        <v>190</v>
      </c>
      <c r="I33" s="30" t="s">
        <v>97</v>
      </c>
      <c r="J33" s="30" t="s">
        <v>46</v>
      </c>
      <c r="K33" s="36" t="s">
        <v>47</v>
      </c>
      <c r="L33" s="30" t="s">
        <v>101</v>
      </c>
      <c r="M33" s="11" t="str">
        <f t="shared" si="8"/>
        <v>27/5/2022</v>
      </c>
      <c r="N33" s="30" t="s">
        <v>54</v>
      </c>
      <c r="O33" s="32" t="s">
        <v>55</v>
      </c>
      <c r="P33" s="30" t="s">
        <v>200</v>
      </c>
      <c r="Q33" s="30" t="s">
        <v>42</v>
      </c>
      <c r="R33" s="30" t="str">
        <f t="shared" si="6"/>
        <v>#REF!</v>
      </c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4">
        <v>32.0</v>
      </c>
      <c r="B34" s="29" t="str">
        <f t="shared" si="4"/>
        <v>#REF!</v>
      </c>
      <c r="C34" s="53" t="s">
        <v>201</v>
      </c>
      <c r="D34" s="30" t="str">
        <f t="shared" si="5"/>
        <v>#REF!</v>
      </c>
      <c r="E34" s="30"/>
      <c r="F34" s="30"/>
      <c r="G34" s="30" t="s">
        <v>202</v>
      </c>
      <c r="H34" s="30" t="s">
        <v>122</v>
      </c>
      <c r="I34" s="30" t="s">
        <v>97</v>
      </c>
      <c r="J34" s="30" t="s">
        <v>46</v>
      </c>
      <c r="K34" s="31" t="s">
        <v>47</v>
      </c>
      <c r="L34" s="30" t="s">
        <v>101</v>
      </c>
      <c r="M34" s="11" t="str">
        <f t="shared" si="8"/>
        <v>27/5/2022</v>
      </c>
      <c r="N34" s="30" t="s">
        <v>54</v>
      </c>
      <c r="O34" s="32" t="s">
        <v>55</v>
      </c>
      <c r="P34" s="30" t="s">
        <v>203</v>
      </c>
      <c r="Q34" s="30" t="s">
        <v>42</v>
      </c>
      <c r="R34" s="30" t="str">
        <f t="shared" si="6"/>
        <v>#REF!</v>
      </c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4">
        <v>33.0</v>
      </c>
      <c r="B35" s="29" t="str">
        <f t="shared" si="4"/>
        <v>#REF!</v>
      </c>
      <c r="C35" s="45" t="s">
        <v>204</v>
      </c>
      <c r="D35" s="30" t="str">
        <f t="shared" si="5"/>
        <v>#REF!</v>
      </c>
      <c r="E35" s="6"/>
      <c r="F35" s="6"/>
      <c r="G35" s="6"/>
      <c r="H35" s="6"/>
      <c r="I35" s="6" t="s">
        <v>60</v>
      </c>
      <c r="J35" s="6" t="s">
        <v>46</v>
      </c>
      <c r="K35" s="8" t="s">
        <v>47</v>
      </c>
      <c r="L35" s="6" t="s">
        <v>205</v>
      </c>
      <c r="M35" s="11" t="str">
        <f t="shared" si="8"/>
        <v>27/5/2022</v>
      </c>
      <c r="N35" s="6"/>
      <c r="O35" s="6"/>
      <c r="P35" s="6"/>
      <c r="Q35" s="6"/>
      <c r="R35" s="30" t="str">
        <f t="shared" si="6"/>
        <v>#REF!</v>
      </c>
      <c r="S35" s="6" t="s">
        <v>206</v>
      </c>
      <c r="T35" s="6"/>
      <c r="U35" s="6"/>
      <c r="V35" s="6"/>
      <c r="W35" s="6"/>
      <c r="X35" s="6"/>
      <c r="Y35" s="6"/>
      <c r="Z35" s="6"/>
    </row>
    <row r="36" ht="15.75" customHeight="1">
      <c r="A36" s="4">
        <v>34.0</v>
      </c>
      <c r="B36" s="29" t="str">
        <f t="shared" si="4"/>
        <v>#REF!</v>
      </c>
      <c r="C36" s="57" t="s">
        <v>207</v>
      </c>
      <c r="D36" s="30" t="str">
        <f t="shared" si="5"/>
        <v>#REF!</v>
      </c>
      <c r="E36" s="6"/>
      <c r="F36" s="6"/>
      <c r="G36" s="6"/>
      <c r="H36" s="6"/>
      <c r="I36" s="6" t="s">
        <v>60</v>
      </c>
      <c r="J36" s="6" t="s">
        <v>46</v>
      </c>
      <c r="K36" s="8" t="s">
        <v>47</v>
      </c>
      <c r="L36" s="6" t="s">
        <v>205</v>
      </c>
      <c r="M36" s="11" t="str">
        <f t="shared" si="8"/>
        <v>27/5/2022</v>
      </c>
      <c r="N36" s="6"/>
      <c r="O36" s="6"/>
      <c r="P36" s="6"/>
      <c r="Q36" s="6"/>
      <c r="R36" s="30" t="str">
        <f t="shared" si="6"/>
        <v>#REF!</v>
      </c>
      <c r="S36" s="6" t="s">
        <v>206</v>
      </c>
      <c r="T36" s="6"/>
      <c r="U36" s="6"/>
      <c r="V36" s="6"/>
      <c r="W36" s="6"/>
      <c r="X36" s="6"/>
      <c r="Y36" s="6"/>
      <c r="Z36" s="6"/>
    </row>
    <row r="37" ht="15.75" customHeight="1">
      <c r="A37" s="4">
        <v>35.0</v>
      </c>
      <c r="B37" s="29" t="str">
        <f t="shared" si="4"/>
        <v>#REF!</v>
      </c>
      <c r="C37" s="58" t="s">
        <v>208</v>
      </c>
      <c r="D37" s="30" t="str">
        <f t="shared" si="5"/>
        <v>#REF!</v>
      </c>
      <c r="E37" s="6"/>
      <c r="F37" s="6"/>
      <c r="G37" s="6"/>
      <c r="H37" s="6"/>
      <c r="I37" s="6" t="s">
        <v>60</v>
      </c>
      <c r="J37" s="6" t="s">
        <v>46</v>
      </c>
      <c r="K37" s="8" t="s">
        <v>47</v>
      </c>
      <c r="L37" s="6" t="s">
        <v>205</v>
      </c>
      <c r="M37" s="11" t="str">
        <f t="shared" si="8"/>
        <v>27/5/2022</v>
      </c>
      <c r="N37" s="6"/>
      <c r="O37" s="6"/>
      <c r="P37" s="6"/>
      <c r="Q37" s="6"/>
      <c r="R37" s="30" t="str">
        <f t="shared" si="6"/>
        <v>#REF!</v>
      </c>
      <c r="S37" s="6" t="s">
        <v>206</v>
      </c>
      <c r="T37" s="6"/>
      <c r="U37" s="6"/>
      <c r="V37" s="6"/>
      <c r="W37" s="6"/>
      <c r="X37" s="6"/>
      <c r="Y37" s="6"/>
      <c r="Z37" s="6"/>
    </row>
    <row r="38" ht="15.75" customHeight="1">
      <c r="A38" s="4">
        <v>36.0</v>
      </c>
      <c r="B38" s="29" t="str">
        <f t="shared" si="4"/>
        <v>#REF!</v>
      </c>
      <c r="C38" s="58" t="s">
        <v>209</v>
      </c>
      <c r="D38" s="30" t="str">
        <f t="shared" si="5"/>
        <v>#REF!</v>
      </c>
      <c r="E38" s="6"/>
      <c r="F38" s="6"/>
      <c r="G38" s="6"/>
      <c r="H38" s="6"/>
      <c r="I38" s="6" t="s">
        <v>60</v>
      </c>
      <c r="J38" s="6" t="s">
        <v>70</v>
      </c>
      <c r="K38" s="8" t="s">
        <v>71</v>
      </c>
      <c r="L38" s="6" t="s">
        <v>62</v>
      </c>
      <c r="M38" s="11" t="str">
        <f t="shared" si="8"/>
        <v>29/9/2022</v>
      </c>
      <c r="N38" s="6"/>
      <c r="O38" s="6"/>
      <c r="P38" s="6"/>
      <c r="Q38" s="6"/>
      <c r="R38" s="30" t="str">
        <f t="shared" si="6"/>
        <v>#REF!</v>
      </c>
      <c r="S38" s="6" t="s">
        <v>206</v>
      </c>
      <c r="T38" s="6"/>
      <c r="U38" s="6"/>
      <c r="V38" s="6"/>
      <c r="W38" s="6"/>
      <c r="X38" s="6"/>
      <c r="Y38" s="6"/>
      <c r="Z38" s="6"/>
    </row>
    <row r="39" ht="15.75" customHeight="1">
      <c r="A39" s="4">
        <v>37.0</v>
      </c>
      <c r="B39" s="29" t="str">
        <f t="shared" si="4"/>
        <v>#REF!</v>
      </c>
      <c r="C39" s="45" t="s">
        <v>210</v>
      </c>
      <c r="D39" s="30" t="str">
        <f t="shared" si="5"/>
        <v>#REF!</v>
      </c>
      <c r="E39" s="44"/>
      <c r="F39" s="44"/>
      <c r="G39" s="44"/>
      <c r="H39" s="44"/>
      <c r="I39" s="44" t="s">
        <v>97</v>
      </c>
      <c r="J39" s="44" t="s">
        <v>46</v>
      </c>
      <c r="K39" s="46" t="s">
        <v>47</v>
      </c>
      <c r="L39" s="44" t="s">
        <v>101</v>
      </c>
      <c r="M39" s="11" t="str">
        <f t="shared" si="8"/>
        <v>27/5/2022</v>
      </c>
      <c r="N39" s="44"/>
      <c r="O39" s="44"/>
      <c r="P39" s="44"/>
      <c r="Q39" s="44"/>
      <c r="R39" s="30" t="str">
        <f t="shared" si="6"/>
        <v>#REF!</v>
      </c>
      <c r="S39" s="44" t="s">
        <v>206</v>
      </c>
      <c r="T39" s="44"/>
      <c r="U39" s="44"/>
      <c r="V39" s="44"/>
      <c r="W39" s="44"/>
      <c r="X39" s="44"/>
      <c r="Y39" s="44"/>
      <c r="Z39" s="44"/>
    </row>
    <row r="40" ht="15.75" customHeight="1">
      <c r="A40" s="47">
        <v>38.0</v>
      </c>
      <c r="B40" s="29" t="str">
        <f t="shared" si="4"/>
        <v>#REF!</v>
      </c>
      <c r="C40" s="57" t="s">
        <v>211</v>
      </c>
      <c r="D40" s="30" t="str">
        <f t="shared" si="5"/>
        <v>#REF!</v>
      </c>
      <c r="E40" s="44"/>
      <c r="F40" s="44"/>
      <c r="G40" s="44"/>
      <c r="H40" s="44"/>
      <c r="I40" s="44" t="s">
        <v>111</v>
      </c>
      <c r="J40" s="44" t="s">
        <v>30</v>
      </c>
      <c r="K40" s="46" t="s">
        <v>32</v>
      </c>
      <c r="L40" s="59" t="s">
        <v>135</v>
      </c>
      <c r="M40" s="49" t="str">
        <f t="shared" si="8"/>
        <v>24/02/2023</v>
      </c>
      <c r="N40" s="44"/>
      <c r="O40" s="44"/>
      <c r="P40" s="44"/>
      <c r="Q40" s="44"/>
      <c r="R40" s="30" t="str">
        <f t="shared" si="6"/>
        <v>#REF!</v>
      </c>
      <c r="S40" s="44" t="s">
        <v>206</v>
      </c>
      <c r="T40" s="44"/>
      <c r="U40" s="44"/>
      <c r="V40" s="44"/>
      <c r="W40" s="44"/>
      <c r="X40" s="44"/>
      <c r="Y40" s="44"/>
      <c r="Z40" s="44"/>
    </row>
    <row r="41" ht="15.75" customHeight="1">
      <c r="A41" s="4">
        <v>39.0</v>
      </c>
      <c r="B41" s="29" t="str">
        <f t="shared" si="4"/>
        <v>#REF!</v>
      </c>
      <c r="C41" s="58" t="s">
        <v>212</v>
      </c>
      <c r="D41" s="30" t="str">
        <f t="shared" si="5"/>
        <v>#REF!</v>
      </c>
      <c r="E41" s="6"/>
      <c r="F41" s="6"/>
      <c r="G41" s="6"/>
      <c r="H41" s="6"/>
      <c r="I41" s="6" t="s">
        <v>133</v>
      </c>
      <c r="J41" s="6" t="s">
        <v>30</v>
      </c>
      <c r="K41" s="8" t="s">
        <v>32</v>
      </c>
      <c r="L41" s="30" t="s">
        <v>283</v>
      </c>
      <c r="M41" s="11" t="str">
        <f t="shared" si="8"/>
        <v>24/02/2023</v>
      </c>
      <c r="N41" s="6"/>
      <c r="O41" s="6"/>
      <c r="P41" s="6"/>
      <c r="Q41" s="6"/>
      <c r="R41" s="30" t="str">
        <f t="shared" si="6"/>
        <v>#REF!</v>
      </c>
      <c r="S41" s="6" t="s">
        <v>206</v>
      </c>
      <c r="T41" s="6"/>
      <c r="U41" s="6"/>
      <c r="V41" s="6"/>
      <c r="W41" s="6"/>
      <c r="X41" s="6"/>
      <c r="Y41" s="6"/>
      <c r="Z41" s="6"/>
    </row>
    <row r="42" ht="15.75" customHeight="1">
      <c r="A42" s="47">
        <v>40.0</v>
      </c>
      <c r="B42" s="47" t="str">
        <f t="shared" si="4"/>
        <v>#REF!</v>
      </c>
      <c r="C42" s="57" t="s">
        <v>213</v>
      </c>
      <c r="D42" s="44" t="str">
        <f t="shared" si="5"/>
        <v>#REF!</v>
      </c>
      <c r="E42" s="44"/>
      <c r="F42" s="44"/>
      <c r="G42" s="44"/>
      <c r="H42" s="44"/>
      <c r="I42" s="44" t="s">
        <v>133</v>
      </c>
      <c r="J42" s="44" t="s">
        <v>30</v>
      </c>
      <c r="K42" s="46" t="s">
        <v>32</v>
      </c>
      <c r="L42" s="30" t="s">
        <v>283</v>
      </c>
      <c r="M42" s="49" t="str">
        <f t="shared" si="8"/>
        <v>24/02/2023</v>
      </c>
      <c r="N42" s="44"/>
      <c r="O42" s="44"/>
      <c r="P42" s="44"/>
      <c r="Q42" s="44"/>
      <c r="R42" s="44" t="str">
        <f t="shared" si="6"/>
        <v>#REF!</v>
      </c>
      <c r="S42" s="44" t="s">
        <v>206</v>
      </c>
      <c r="T42" s="44"/>
      <c r="U42" s="44"/>
      <c r="V42" s="44"/>
      <c r="W42" s="44"/>
      <c r="X42" s="44"/>
      <c r="Y42" s="44"/>
      <c r="Z42" s="44"/>
    </row>
    <row r="43" ht="15.75" customHeight="1">
      <c r="A43" s="4">
        <v>41.0</v>
      </c>
      <c r="B43" s="29" t="str">
        <f t="shared" si="4"/>
        <v>#REF!</v>
      </c>
      <c r="C43" s="57" t="s">
        <v>214</v>
      </c>
      <c r="D43" s="30" t="str">
        <f t="shared" si="5"/>
        <v>#REF!</v>
      </c>
      <c r="E43" s="6"/>
      <c r="F43" s="6"/>
      <c r="G43" s="6"/>
      <c r="H43" s="6"/>
      <c r="I43" s="6" t="s">
        <v>133</v>
      </c>
      <c r="J43" s="6" t="s">
        <v>30</v>
      </c>
      <c r="K43" s="8" t="s">
        <v>32</v>
      </c>
      <c r="L43" s="30" t="s">
        <v>283</v>
      </c>
      <c r="M43" s="11" t="str">
        <f t="shared" si="8"/>
        <v>24/02/2023</v>
      </c>
      <c r="N43" s="6"/>
      <c r="O43" s="6"/>
      <c r="P43" s="6"/>
      <c r="Q43" s="6"/>
      <c r="R43" s="30" t="str">
        <f t="shared" si="6"/>
        <v>#REF!</v>
      </c>
      <c r="S43" s="6" t="s">
        <v>206</v>
      </c>
      <c r="T43" s="6"/>
      <c r="U43" s="6"/>
      <c r="V43" s="6"/>
      <c r="W43" s="6"/>
      <c r="X43" s="6"/>
      <c r="Y43" s="6"/>
      <c r="Z43" s="6"/>
    </row>
    <row r="44" ht="15.75" customHeight="1">
      <c r="A44" s="4">
        <v>42.0</v>
      </c>
      <c r="B44" s="29" t="str">
        <f t="shared" si="4"/>
        <v>#REF!</v>
      </c>
      <c r="C44" s="58" t="s">
        <v>215</v>
      </c>
      <c r="D44" s="30" t="str">
        <f t="shared" si="5"/>
        <v>#REF!</v>
      </c>
      <c r="E44" s="6"/>
      <c r="F44" s="6"/>
      <c r="G44" s="6"/>
      <c r="H44" s="6"/>
      <c r="I44" s="6" t="s">
        <v>133</v>
      </c>
      <c r="J44" s="6" t="s">
        <v>30</v>
      </c>
      <c r="K44" s="8" t="s">
        <v>32</v>
      </c>
      <c r="L44" s="30" t="s">
        <v>283</v>
      </c>
      <c r="M44" s="11" t="str">
        <f t="shared" si="8"/>
        <v>24/02/2023</v>
      </c>
      <c r="N44" s="6"/>
      <c r="O44" s="6"/>
      <c r="P44" s="6"/>
      <c r="Q44" s="6"/>
      <c r="R44" s="30" t="str">
        <f t="shared" si="6"/>
        <v>#REF!</v>
      </c>
      <c r="S44" s="6" t="s">
        <v>206</v>
      </c>
      <c r="T44" s="6"/>
      <c r="U44" s="6"/>
      <c r="V44" s="6"/>
      <c r="W44" s="6"/>
      <c r="X44" s="6"/>
      <c r="Y44" s="6"/>
      <c r="Z44" s="6"/>
    </row>
    <row r="45" ht="15.75" customHeight="1">
      <c r="A45" s="4">
        <v>43.0</v>
      </c>
      <c r="B45" s="29" t="str">
        <f t="shared" si="4"/>
        <v>#REF!</v>
      </c>
      <c r="C45" s="58" t="s">
        <v>216</v>
      </c>
      <c r="D45" s="30" t="str">
        <f t="shared" si="5"/>
        <v>#REF!</v>
      </c>
      <c r="E45" s="6"/>
      <c r="F45" s="6"/>
      <c r="G45" s="6"/>
      <c r="H45" s="6"/>
      <c r="I45" s="6" t="s">
        <v>133</v>
      </c>
      <c r="J45" s="6" t="s">
        <v>30</v>
      </c>
      <c r="K45" s="8" t="s">
        <v>32</v>
      </c>
      <c r="L45" s="30" t="s">
        <v>283</v>
      </c>
      <c r="M45" s="11" t="str">
        <f t="shared" si="8"/>
        <v>24/02/2023</v>
      </c>
      <c r="N45" s="6"/>
      <c r="O45" s="6"/>
      <c r="P45" s="6"/>
      <c r="Q45" s="6"/>
      <c r="R45" s="30" t="str">
        <f t="shared" si="6"/>
        <v>#REF!</v>
      </c>
      <c r="S45" s="6" t="s">
        <v>206</v>
      </c>
      <c r="T45" s="6"/>
      <c r="U45" s="6"/>
      <c r="V45" s="6"/>
      <c r="W45" s="6"/>
      <c r="X45" s="6"/>
      <c r="Y45" s="6"/>
      <c r="Z45" s="6"/>
    </row>
    <row r="46" ht="15.75" customHeight="1">
      <c r="A46" s="4">
        <v>44.0</v>
      </c>
      <c r="B46" s="29" t="str">
        <f t="shared" si="4"/>
        <v>#REF!</v>
      </c>
      <c r="C46" s="58" t="s">
        <v>59</v>
      </c>
      <c r="D46" s="30" t="str">
        <f t="shared" si="5"/>
        <v>#REF!</v>
      </c>
      <c r="E46" s="6"/>
      <c r="F46" s="6"/>
      <c r="G46" s="6"/>
      <c r="H46" s="6"/>
      <c r="I46" s="6" t="s">
        <v>60</v>
      </c>
      <c r="J46" s="6" t="s">
        <v>30</v>
      </c>
      <c r="K46" s="8" t="s">
        <v>32</v>
      </c>
      <c r="L46" s="6" t="s">
        <v>62</v>
      </c>
      <c r="M46" s="11" t="str">
        <f t="shared" si="8"/>
        <v>24/02/2023</v>
      </c>
      <c r="N46" s="6"/>
      <c r="O46" s="6"/>
      <c r="P46" s="6"/>
      <c r="Q46" s="6"/>
      <c r="R46" s="30" t="str">
        <f t="shared" si="6"/>
        <v>#REF!</v>
      </c>
      <c r="S46" s="6" t="s">
        <v>206</v>
      </c>
      <c r="T46" s="6"/>
      <c r="U46" s="6"/>
      <c r="V46" s="6"/>
      <c r="W46" s="6"/>
      <c r="X46" s="6"/>
      <c r="Y46" s="6"/>
      <c r="Z46" s="6"/>
    </row>
    <row r="47" ht="15.75" customHeight="1">
      <c r="A47" s="4">
        <v>45.0</v>
      </c>
      <c r="B47" s="29" t="str">
        <f t="shared" si="4"/>
        <v>#REF!</v>
      </c>
      <c r="C47" s="54" t="s">
        <v>73</v>
      </c>
      <c r="D47" s="30" t="str">
        <f t="shared" si="5"/>
        <v>#REF!</v>
      </c>
      <c r="E47" s="6"/>
      <c r="F47" s="6"/>
      <c r="G47" s="6"/>
      <c r="H47" s="6"/>
      <c r="I47" s="6" t="s">
        <v>60</v>
      </c>
      <c r="J47" s="6" t="s">
        <v>30</v>
      </c>
      <c r="K47" s="8" t="s">
        <v>32</v>
      </c>
      <c r="L47" s="6" t="s">
        <v>62</v>
      </c>
      <c r="M47" s="11" t="str">
        <f t="shared" si="8"/>
        <v>24/02/2023</v>
      </c>
      <c r="N47" s="6"/>
      <c r="O47" s="6"/>
      <c r="P47" s="6"/>
      <c r="Q47" s="6"/>
      <c r="R47" s="30" t="str">
        <f t="shared" si="6"/>
        <v>#REF!</v>
      </c>
      <c r="S47" s="6" t="s">
        <v>206</v>
      </c>
      <c r="T47" s="6"/>
      <c r="U47" s="6"/>
      <c r="V47" s="6"/>
      <c r="W47" s="6"/>
      <c r="X47" s="6"/>
      <c r="Y47" s="6"/>
      <c r="Z47" s="6"/>
    </row>
    <row r="48" ht="15.75" customHeight="1">
      <c r="A48" s="4">
        <v>46.0</v>
      </c>
      <c r="B48" s="29" t="str">
        <f t="shared" si="4"/>
        <v>#REF!</v>
      </c>
      <c r="C48" s="58" t="s">
        <v>78</v>
      </c>
      <c r="D48" s="30" t="str">
        <f t="shared" si="5"/>
        <v>#REF!</v>
      </c>
      <c r="E48" s="6"/>
      <c r="F48" s="6"/>
      <c r="G48" s="6"/>
      <c r="H48" s="6"/>
      <c r="I48" s="6" t="s">
        <v>60</v>
      </c>
      <c r="J48" s="6" t="s">
        <v>30</v>
      </c>
      <c r="K48" s="8" t="s">
        <v>32</v>
      </c>
      <c r="L48" s="6" t="s">
        <v>62</v>
      </c>
      <c r="M48" s="11" t="str">
        <f t="shared" si="8"/>
        <v>24/02/2023</v>
      </c>
      <c r="N48" s="6"/>
      <c r="O48" s="6"/>
      <c r="P48" s="6"/>
      <c r="Q48" s="6"/>
      <c r="R48" s="30" t="str">
        <f t="shared" si="6"/>
        <v>#REF!</v>
      </c>
      <c r="S48" s="6" t="s">
        <v>206</v>
      </c>
      <c r="T48" s="6"/>
      <c r="U48" s="6"/>
      <c r="V48" s="6"/>
      <c r="W48" s="6"/>
      <c r="X48" s="6"/>
      <c r="Y48" s="6"/>
      <c r="Z48" s="6"/>
    </row>
    <row r="49" ht="15.75" customHeight="1">
      <c r="A49" s="4">
        <v>47.0</v>
      </c>
      <c r="B49" s="29" t="str">
        <f t="shared" si="4"/>
        <v>#REF!</v>
      </c>
      <c r="C49" s="60" t="s">
        <v>82</v>
      </c>
      <c r="D49" s="30" t="str">
        <f t="shared" si="5"/>
        <v>#REF!</v>
      </c>
      <c r="E49" s="6"/>
      <c r="F49" s="6"/>
      <c r="G49" s="6"/>
      <c r="H49" s="6"/>
      <c r="I49" s="20" t="s">
        <v>83</v>
      </c>
      <c r="J49" s="6" t="s">
        <v>30</v>
      </c>
      <c r="K49" s="8" t="s">
        <v>32</v>
      </c>
      <c r="L49" s="6" t="s">
        <v>84</v>
      </c>
      <c r="M49" s="11" t="str">
        <f t="shared" si="8"/>
        <v>24/02/2023</v>
      </c>
      <c r="N49" s="6"/>
      <c r="O49" s="6"/>
      <c r="P49" s="6"/>
      <c r="Q49" s="6"/>
      <c r="R49" s="30" t="str">
        <f t="shared" si="6"/>
        <v>#REF!</v>
      </c>
      <c r="S49" s="6" t="s">
        <v>206</v>
      </c>
      <c r="T49" s="6"/>
      <c r="U49" s="6"/>
      <c r="V49" s="6"/>
      <c r="W49" s="6"/>
      <c r="X49" s="6"/>
      <c r="Y49" s="6"/>
      <c r="Z49" s="6"/>
    </row>
    <row r="50" ht="15.75" customHeight="1">
      <c r="A50" s="4">
        <v>48.0</v>
      </c>
      <c r="B50" s="29" t="str">
        <f t="shared" si="4"/>
        <v>#REF!</v>
      </c>
      <c r="C50" s="60" t="s">
        <v>88</v>
      </c>
      <c r="D50" s="30" t="str">
        <f t="shared" si="5"/>
        <v>#REF!</v>
      </c>
      <c r="E50" s="6"/>
      <c r="F50" s="6"/>
      <c r="G50" s="6"/>
      <c r="H50" s="6"/>
      <c r="I50" s="20" t="s">
        <v>83</v>
      </c>
      <c r="J50" s="6" t="s">
        <v>30</v>
      </c>
      <c r="K50" s="8" t="s">
        <v>32</v>
      </c>
      <c r="L50" s="6" t="s">
        <v>84</v>
      </c>
      <c r="M50" s="11" t="str">
        <f t="shared" si="8"/>
        <v>24/02/2023</v>
      </c>
      <c r="N50" s="6"/>
      <c r="O50" s="6"/>
      <c r="P50" s="6"/>
      <c r="Q50" s="6"/>
      <c r="R50" s="30" t="str">
        <f t="shared" si="6"/>
        <v>#REF!</v>
      </c>
      <c r="S50" s="6" t="s">
        <v>206</v>
      </c>
      <c r="T50" s="6"/>
      <c r="U50" s="6"/>
      <c r="V50" s="6"/>
      <c r="W50" s="6"/>
      <c r="X50" s="6"/>
      <c r="Y50" s="6"/>
      <c r="Z50" s="6"/>
    </row>
    <row r="51" ht="15.75" customHeight="1">
      <c r="A51" s="4">
        <v>49.0</v>
      </c>
      <c r="B51" s="29" t="str">
        <f t="shared" si="4"/>
        <v>#REF!</v>
      </c>
      <c r="C51" s="57" t="s">
        <v>217</v>
      </c>
      <c r="D51" s="30" t="str">
        <f t="shared" si="5"/>
        <v>#REF!</v>
      </c>
      <c r="E51" s="44"/>
      <c r="F51" s="44"/>
      <c r="G51" s="44"/>
      <c r="H51" s="44"/>
      <c r="I51" s="50" t="s">
        <v>218</v>
      </c>
      <c r="J51" s="44" t="s">
        <v>99</v>
      </c>
      <c r="K51" s="46" t="s">
        <v>100</v>
      </c>
      <c r="L51" s="44" t="s">
        <v>219</v>
      </c>
      <c r="M51" s="8" t="s">
        <v>100</v>
      </c>
      <c r="N51" s="44"/>
      <c r="O51" s="44"/>
      <c r="P51" s="44"/>
      <c r="Q51" s="44"/>
      <c r="R51" s="30" t="str">
        <f t="shared" si="6"/>
        <v>#REF!</v>
      </c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4">
        <v>50.0</v>
      </c>
      <c r="B52" s="29" t="str">
        <f t="shared" si="4"/>
        <v>#REF!</v>
      </c>
      <c r="C52" s="58" t="s">
        <v>220</v>
      </c>
      <c r="D52" s="30" t="str">
        <f t="shared" si="5"/>
        <v>#REF!</v>
      </c>
      <c r="E52" s="6"/>
      <c r="F52" s="6"/>
      <c r="G52" s="6"/>
      <c r="H52" s="6"/>
      <c r="I52" s="20" t="s">
        <v>60</v>
      </c>
      <c r="J52" s="6" t="s">
        <v>99</v>
      </c>
      <c r="K52" s="8" t="s">
        <v>100</v>
      </c>
      <c r="L52" s="6" t="s">
        <v>221</v>
      </c>
      <c r="M52" s="8" t="s">
        <v>100</v>
      </c>
      <c r="N52" s="6"/>
      <c r="O52" s="6"/>
      <c r="P52" s="6"/>
      <c r="Q52" s="6"/>
      <c r="R52" s="30" t="str">
        <f t="shared" si="6"/>
        <v>#REF!</v>
      </c>
      <c r="S52" s="6"/>
      <c r="T52" s="6"/>
      <c r="U52" s="6"/>
      <c r="V52" s="6"/>
      <c r="W52" s="6"/>
      <c r="X52" s="6"/>
      <c r="Y52" s="6"/>
      <c r="Z52" s="6"/>
    </row>
    <row r="53" ht="15.75" customHeight="1">
      <c r="A53" s="4">
        <v>51.0</v>
      </c>
      <c r="B53" s="29" t="str">
        <f t="shared" si="4"/>
        <v>#REF!</v>
      </c>
      <c r="C53" s="58" t="s">
        <v>222</v>
      </c>
      <c r="D53" s="30" t="str">
        <f t="shared" si="5"/>
        <v>#REF!</v>
      </c>
      <c r="E53" s="6"/>
      <c r="F53" s="6"/>
      <c r="G53" s="6"/>
      <c r="H53" s="6"/>
      <c r="I53" s="20" t="s">
        <v>60</v>
      </c>
      <c r="J53" s="6" t="s">
        <v>99</v>
      </c>
      <c r="K53" s="8" t="s">
        <v>100</v>
      </c>
      <c r="L53" s="6" t="s">
        <v>221</v>
      </c>
      <c r="M53" s="8" t="s">
        <v>100</v>
      </c>
      <c r="N53" s="6"/>
      <c r="O53" s="6"/>
      <c r="P53" s="6"/>
      <c r="Q53" s="6"/>
      <c r="R53" s="30" t="str">
        <f t="shared" si="6"/>
        <v>#REF!</v>
      </c>
      <c r="S53" s="6"/>
      <c r="T53" s="6"/>
      <c r="U53" s="6"/>
      <c r="V53" s="6"/>
      <c r="W53" s="6"/>
      <c r="X53" s="6"/>
      <c r="Y53" s="6"/>
      <c r="Z53" s="6"/>
    </row>
    <row r="54" ht="15.75" customHeight="1">
      <c r="A54" s="4">
        <v>52.0</v>
      </c>
      <c r="B54" s="29" t="str">
        <f t="shared" si="4"/>
        <v>#REF!</v>
      </c>
      <c r="C54" s="58" t="s">
        <v>223</v>
      </c>
      <c r="D54" s="30" t="str">
        <f t="shared" si="5"/>
        <v>#REF!</v>
      </c>
      <c r="E54" s="6"/>
      <c r="F54" s="6"/>
      <c r="G54" s="6"/>
      <c r="H54" s="6"/>
      <c r="I54" s="20" t="s">
        <v>60</v>
      </c>
      <c r="J54" s="6" t="s">
        <v>99</v>
      </c>
      <c r="K54" s="8" t="s">
        <v>100</v>
      </c>
      <c r="L54" s="6" t="s">
        <v>221</v>
      </c>
      <c r="M54" s="8" t="s">
        <v>100</v>
      </c>
      <c r="N54" s="6"/>
      <c r="O54" s="6"/>
      <c r="P54" s="6"/>
      <c r="Q54" s="6"/>
      <c r="R54" s="30" t="str">
        <f t="shared" si="6"/>
        <v>#REF!</v>
      </c>
      <c r="S54" s="6"/>
      <c r="T54" s="6"/>
      <c r="U54" s="6"/>
      <c r="V54" s="6"/>
      <c r="W54" s="6"/>
      <c r="X54" s="6"/>
      <c r="Y54" s="6"/>
      <c r="Z54" s="6"/>
    </row>
    <row r="55" ht="15.75" customHeight="1">
      <c r="A55" s="4">
        <v>53.0</v>
      </c>
      <c r="B55" s="29" t="str">
        <f t="shared" si="4"/>
        <v>#REF!</v>
      </c>
      <c r="C55" s="57" t="s">
        <v>224</v>
      </c>
      <c r="D55" s="30" t="str">
        <f t="shared" si="5"/>
        <v>#REF!</v>
      </c>
      <c r="E55" s="6"/>
      <c r="F55" s="6"/>
      <c r="G55" s="6"/>
      <c r="H55" s="6"/>
      <c r="I55" s="20" t="s">
        <v>60</v>
      </c>
      <c r="J55" s="6" t="s">
        <v>99</v>
      </c>
      <c r="K55" s="8" t="s">
        <v>100</v>
      </c>
      <c r="L55" s="6" t="s">
        <v>221</v>
      </c>
      <c r="M55" s="8" t="s">
        <v>100</v>
      </c>
      <c r="N55" s="6"/>
      <c r="O55" s="6"/>
      <c r="P55" s="6"/>
      <c r="Q55" s="6"/>
      <c r="R55" s="30" t="str">
        <f t="shared" si="6"/>
        <v>#REF!</v>
      </c>
      <c r="S55" s="6"/>
      <c r="T55" s="6"/>
      <c r="U55" s="6"/>
      <c r="V55" s="6"/>
      <c r="W55" s="6"/>
      <c r="X55" s="6"/>
      <c r="Y55" s="6"/>
      <c r="Z55" s="6"/>
    </row>
    <row r="56" ht="15.75" customHeight="1">
      <c r="A56" s="4">
        <v>54.0</v>
      </c>
      <c r="B56" s="29" t="str">
        <f t="shared" si="4"/>
        <v>#REF!</v>
      </c>
      <c r="C56" s="57" t="s">
        <v>225</v>
      </c>
      <c r="D56" s="30" t="str">
        <f t="shared" si="5"/>
        <v>#REF!</v>
      </c>
      <c r="E56" s="6"/>
      <c r="F56" s="6"/>
      <c r="G56" s="6"/>
      <c r="H56" s="6"/>
      <c r="I56" s="20" t="s">
        <v>60</v>
      </c>
      <c r="J56" s="6" t="s">
        <v>99</v>
      </c>
      <c r="K56" s="8" t="s">
        <v>100</v>
      </c>
      <c r="L56" s="6" t="s">
        <v>221</v>
      </c>
      <c r="M56" s="8" t="s">
        <v>100</v>
      </c>
      <c r="N56" s="6"/>
      <c r="O56" s="6"/>
      <c r="P56" s="6"/>
      <c r="Q56" s="6"/>
      <c r="R56" s="30" t="str">
        <f t="shared" si="6"/>
        <v>#REF!</v>
      </c>
      <c r="S56" s="6"/>
      <c r="T56" s="6"/>
      <c r="U56" s="6"/>
      <c r="V56" s="6"/>
      <c r="W56" s="6"/>
      <c r="X56" s="6"/>
      <c r="Y56" s="6"/>
      <c r="Z56" s="6"/>
    </row>
    <row r="57" ht="15.75" customHeight="1">
      <c r="A57" s="4">
        <v>55.0</v>
      </c>
      <c r="B57" s="29" t="str">
        <f t="shared" si="4"/>
        <v>#REF!</v>
      </c>
      <c r="C57" s="58" t="s">
        <v>284</v>
      </c>
      <c r="D57" s="30" t="str">
        <f t="shared" si="5"/>
        <v>#REF!</v>
      </c>
      <c r="E57" s="6"/>
      <c r="F57" s="6"/>
      <c r="G57" s="6"/>
      <c r="H57" s="6"/>
      <c r="I57" s="20" t="s">
        <v>97</v>
      </c>
      <c r="J57" s="6" t="s">
        <v>99</v>
      </c>
      <c r="K57" s="8" t="s">
        <v>100</v>
      </c>
      <c r="L57" s="6" t="s">
        <v>101</v>
      </c>
      <c r="M57" s="8" t="s">
        <v>100</v>
      </c>
      <c r="N57" s="6"/>
      <c r="O57" s="6"/>
      <c r="P57" s="6"/>
      <c r="Q57" s="6"/>
      <c r="R57" s="30" t="str">
        <f t="shared" si="6"/>
        <v>#REF!</v>
      </c>
      <c r="S57" s="6"/>
      <c r="T57" s="6"/>
      <c r="U57" s="6"/>
      <c r="V57" s="6"/>
      <c r="W57" s="6"/>
      <c r="X57" s="6"/>
      <c r="Y57" s="6"/>
      <c r="Z57" s="6"/>
    </row>
    <row r="58" ht="15.75" customHeight="1">
      <c r="A58" s="4">
        <v>56.0</v>
      </c>
      <c r="B58" s="29" t="str">
        <f t="shared" si="4"/>
        <v>#REF!</v>
      </c>
      <c r="C58" s="57" t="s">
        <v>227</v>
      </c>
      <c r="D58" s="30" t="str">
        <f t="shared" si="5"/>
        <v>#REF!</v>
      </c>
      <c r="E58" s="6"/>
      <c r="F58" s="6"/>
      <c r="G58" s="6"/>
      <c r="H58" s="6"/>
      <c r="I58" s="20" t="s">
        <v>97</v>
      </c>
      <c r="J58" s="6" t="s">
        <v>99</v>
      </c>
      <c r="K58" s="8" t="s">
        <v>100</v>
      </c>
      <c r="L58" s="6" t="s">
        <v>101</v>
      </c>
      <c r="M58" s="8" t="s">
        <v>100</v>
      </c>
      <c r="N58" s="6"/>
      <c r="O58" s="6"/>
      <c r="P58" s="6"/>
      <c r="Q58" s="6"/>
      <c r="R58" s="30" t="str">
        <f t="shared" si="6"/>
        <v>#REF!</v>
      </c>
      <c r="S58" s="6"/>
      <c r="T58" s="6"/>
      <c r="U58" s="6"/>
      <c r="V58" s="6"/>
      <c r="W58" s="6"/>
      <c r="X58" s="6"/>
      <c r="Y58" s="6"/>
      <c r="Z58" s="6"/>
    </row>
    <row r="59" ht="15.75" customHeight="1">
      <c r="A59" s="4">
        <v>57.0</v>
      </c>
      <c r="B59" s="29" t="str">
        <f t="shared" si="4"/>
        <v>#REF!</v>
      </c>
      <c r="C59" s="58" t="s">
        <v>228</v>
      </c>
      <c r="D59" s="30" t="str">
        <f t="shared" si="5"/>
        <v>#REF!</v>
      </c>
      <c r="E59" s="6"/>
      <c r="F59" s="6"/>
      <c r="G59" s="6"/>
      <c r="H59" s="6"/>
      <c r="I59" s="20" t="s">
        <v>97</v>
      </c>
      <c r="J59" s="6" t="s">
        <v>99</v>
      </c>
      <c r="K59" s="8" t="s">
        <v>100</v>
      </c>
      <c r="L59" s="6" t="s">
        <v>101</v>
      </c>
      <c r="M59" s="8" t="s">
        <v>100</v>
      </c>
      <c r="N59" s="6"/>
      <c r="O59" s="6"/>
      <c r="P59" s="6"/>
      <c r="Q59" s="6"/>
      <c r="R59" s="30" t="str">
        <f t="shared" si="6"/>
        <v>#REF!</v>
      </c>
      <c r="S59" s="6"/>
      <c r="T59" s="6"/>
      <c r="U59" s="6"/>
      <c r="V59" s="6"/>
      <c r="W59" s="6"/>
      <c r="X59" s="6"/>
      <c r="Y59" s="6"/>
      <c r="Z59" s="6"/>
    </row>
    <row r="60" ht="15.75" customHeight="1">
      <c r="A60" s="4">
        <v>58.0</v>
      </c>
      <c r="B60" s="29" t="str">
        <f t="shared" si="4"/>
        <v>#REF!</v>
      </c>
      <c r="C60" s="54" t="s">
        <v>94</v>
      </c>
      <c r="D60" s="30" t="str">
        <f t="shared" si="5"/>
        <v>#REF!</v>
      </c>
      <c r="E60" s="6"/>
      <c r="F60" s="6"/>
      <c r="G60" s="6"/>
      <c r="H60" s="6"/>
      <c r="I60" s="20" t="s">
        <v>97</v>
      </c>
      <c r="J60" s="6" t="s">
        <v>99</v>
      </c>
      <c r="K60" s="8" t="s">
        <v>100</v>
      </c>
      <c r="L60" s="6" t="s">
        <v>101</v>
      </c>
      <c r="M60" s="8" t="s">
        <v>100</v>
      </c>
      <c r="N60" s="6"/>
      <c r="O60" s="6"/>
      <c r="P60" s="6"/>
      <c r="Q60" s="6"/>
      <c r="R60" s="30" t="str">
        <f t="shared" si="6"/>
        <v>#REF!</v>
      </c>
      <c r="S60" s="6"/>
      <c r="T60" s="6"/>
      <c r="U60" s="6"/>
      <c r="V60" s="6"/>
      <c r="W60" s="6"/>
      <c r="X60" s="6"/>
      <c r="Y60" s="6"/>
      <c r="Z60" s="6"/>
    </row>
    <row r="61" ht="15.75" customHeight="1">
      <c r="A61" s="4">
        <v>59.0</v>
      </c>
      <c r="B61" s="29" t="str">
        <f t="shared" si="4"/>
        <v>#REF!</v>
      </c>
      <c r="C61" s="54" t="s">
        <v>105</v>
      </c>
      <c r="D61" s="30" t="str">
        <f t="shared" si="5"/>
        <v>#REF!</v>
      </c>
      <c r="E61" s="6"/>
      <c r="F61" s="6"/>
      <c r="G61" s="6"/>
      <c r="H61" s="6"/>
      <c r="I61" s="20" t="s">
        <v>111</v>
      </c>
      <c r="J61" s="6" t="s">
        <v>99</v>
      </c>
      <c r="K61" s="8" t="s">
        <v>100</v>
      </c>
      <c r="L61" s="6" t="s">
        <v>113</v>
      </c>
      <c r="M61" s="8" t="s">
        <v>100</v>
      </c>
      <c r="N61" s="6"/>
      <c r="O61" s="6"/>
      <c r="P61" s="6"/>
      <c r="Q61" s="6"/>
      <c r="R61" s="30" t="str">
        <f t="shared" si="6"/>
        <v>#REF!</v>
      </c>
      <c r="S61" s="6"/>
      <c r="T61" s="6"/>
      <c r="U61" s="6"/>
      <c r="V61" s="6"/>
      <c r="W61" s="6"/>
      <c r="X61" s="6"/>
      <c r="Y61" s="6"/>
      <c r="Z61" s="6"/>
    </row>
    <row r="62" ht="15.75" customHeight="1">
      <c r="A62" s="4">
        <v>60.0</v>
      </c>
      <c r="B62" s="29" t="str">
        <f t="shared" si="4"/>
        <v>#REF!</v>
      </c>
      <c r="C62" s="54" t="s">
        <v>117</v>
      </c>
      <c r="D62" s="30" t="str">
        <f t="shared" si="5"/>
        <v>#REF!</v>
      </c>
      <c r="E62" s="6"/>
      <c r="F62" s="6"/>
      <c r="G62" s="6"/>
      <c r="H62" s="6"/>
      <c r="I62" s="20" t="s">
        <v>111</v>
      </c>
      <c r="J62" s="6" t="s">
        <v>99</v>
      </c>
      <c r="K62" s="8" t="s">
        <v>100</v>
      </c>
      <c r="L62" s="6" t="s">
        <v>113</v>
      </c>
      <c r="M62" s="8" t="s">
        <v>100</v>
      </c>
      <c r="N62" s="6"/>
      <c r="O62" s="6"/>
      <c r="P62" s="6"/>
      <c r="Q62" s="6"/>
      <c r="R62" s="30" t="str">
        <f t="shared" si="6"/>
        <v>#REF!</v>
      </c>
      <c r="S62" s="6"/>
      <c r="T62" s="6"/>
      <c r="U62" s="6"/>
      <c r="V62" s="6"/>
      <c r="W62" s="6"/>
      <c r="X62" s="6"/>
      <c r="Y62" s="6"/>
      <c r="Z62" s="6"/>
    </row>
    <row r="63" ht="15.75" customHeight="1">
      <c r="A63" s="4">
        <v>61.0</v>
      </c>
      <c r="B63" s="29" t="str">
        <f t="shared" si="4"/>
        <v>#REF!</v>
      </c>
      <c r="C63" s="58" t="s">
        <v>127</v>
      </c>
      <c r="D63" s="30" t="str">
        <f t="shared" si="5"/>
        <v>#REF!</v>
      </c>
      <c r="E63" s="6"/>
      <c r="F63" s="6"/>
      <c r="G63" s="6"/>
      <c r="H63" s="6"/>
      <c r="I63" s="20" t="s">
        <v>111</v>
      </c>
      <c r="J63" s="6" t="s">
        <v>99</v>
      </c>
      <c r="K63" s="8" t="s">
        <v>100</v>
      </c>
      <c r="L63" s="6" t="s">
        <v>113</v>
      </c>
      <c r="M63" s="8" t="s">
        <v>100</v>
      </c>
      <c r="N63" s="6"/>
      <c r="O63" s="6"/>
      <c r="P63" s="6"/>
      <c r="Q63" s="6"/>
      <c r="R63" s="30" t="str">
        <f t="shared" si="6"/>
        <v>#REF!</v>
      </c>
      <c r="S63" s="6"/>
      <c r="T63" s="6"/>
      <c r="U63" s="6"/>
      <c r="V63" s="6"/>
      <c r="W63" s="6"/>
      <c r="X63" s="6"/>
      <c r="Y63" s="6"/>
      <c r="Z63" s="6"/>
    </row>
    <row r="64" ht="15.75" customHeight="1">
      <c r="A64" s="4">
        <v>62.0</v>
      </c>
      <c r="B64" s="29" t="str">
        <f t="shared" si="4"/>
        <v>#REF!</v>
      </c>
      <c r="C64" s="58" t="s">
        <v>229</v>
      </c>
      <c r="D64" s="30" t="str">
        <f t="shared" si="5"/>
        <v>#REF!</v>
      </c>
      <c r="E64" s="6"/>
      <c r="F64" s="6"/>
      <c r="G64" s="6"/>
      <c r="H64" s="6"/>
      <c r="I64" s="20" t="s">
        <v>111</v>
      </c>
      <c r="J64" s="6" t="s">
        <v>99</v>
      </c>
      <c r="K64" s="8" t="s">
        <v>100</v>
      </c>
      <c r="L64" s="6" t="s">
        <v>113</v>
      </c>
      <c r="M64" s="8" t="s">
        <v>100</v>
      </c>
      <c r="N64" s="6"/>
      <c r="O64" s="6"/>
      <c r="P64" s="6"/>
      <c r="Q64" s="6"/>
      <c r="R64" s="30" t="str">
        <f t="shared" si="6"/>
        <v>#REF!</v>
      </c>
      <c r="S64" s="6"/>
      <c r="T64" s="6"/>
      <c r="U64" s="6"/>
      <c r="V64" s="6"/>
      <c r="W64" s="6"/>
      <c r="X64" s="6"/>
      <c r="Y64" s="6"/>
      <c r="Z64" s="6"/>
    </row>
    <row r="65" ht="15.75" customHeight="1">
      <c r="A65" s="4">
        <v>63.0</v>
      </c>
      <c r="B65" s="29" t="str">
        <f t="shared" si="4"/>
        <v>#REF!</v>
      </c>
      <c r="C65" s="54" t="s">
        <v>230</v>
      </c>
      <c r="D65" s="30" t="str">
        <f t="shared" si="5"/>
        <v>#REF!</v>
      </c>
      <c r="E65" s="6"/>
      <c r="F65" s="6"/>
      <c r="G65" s="6"/>
      <c r="H65" s="6"/>
      <c r="I65" s="20" t="s">
        <v>111</v>
      </c>
      <c r="J65" s="6" t="s">
        <v>99</v>
      </c>
      <c r="K65" s="8" t="s">
        <v>100</v>
      </c>
      <c r="L65" s="6" t="s">
        <v>113</v>
      </c>
      <c r="M65" s="8" t="s">
        <v>100</v>
      </c>
      <c r="N65" s="6"/>
      <c r="O65" s="6"/>
      <c r="P65" s="6"/>
      <c r="Q65" s="6"/>
      <c r="R65" s="30" t="str">
        <f t="shared" si="6"/>
        <v>#REF!</v>
      </c>
      <c r="S65" s="6"/>
      <c r="T65" s="6"/>
      <c r="U65" s="6"/>
      <c r="V65" s="6"/>
      <c r="W65" s="6"/>
      <c r="X65" s="6"/>
      <c r="Y65" s="6"/>
      <c r="Z65" s="6"/>
    </row>
    <row r="66" ht="15.75" customHeight="1">
      <c r="A66" s="4">
        <v>64.0</v>
      </c>
      <c r="B66" s="29" t="str">
        <f t="shared" si="4"/>
        <v>#REF!</v>
      </c>
      <c r="C66" s="54" t="s">
        <v>231</v>
      </c>
      <c r="D66" s="30" t="str">
        <f t="shared" si="5"/>
        <v>#REF!</v>
      </c>
      <c r="E66" s="6"/>
      <c r="F66" s="6"/>
      <c r="G66" s="6"/>
      <c r="H66" s="6"/>
      <c r="I66" s="20" t="s">
        <v>232</v>
      </c>
      <c r="J66" s="6" t="s">
        <v>99</v>
      </c>
      <c r="K66" s="8" t="s">
        <v>100</v>
      </c>
      <c r="L66" s="6" t="s">
        <v>84</v>
      </c>
      <c r="M66" s="8" t="s">
        <v>100</v>
      </c>
      <c r="N66" s="6"/>
      <c r="O66" s="6"/>
      <c r="P66" s="6"/>
      <c r="Q66" s="6"/>
      <c r="R66" s="30" t="str">
        <f t="shared" si="6"/>
        <v>#REF!</v>
      </c>
      <c r="S66" s="6"/>
      <c r="T66" s="6"/>
      <c r="U66" s="6"/>
      <c r="V66" s="6"/>
      <c r="W66" s="6"/>
      <c r="X66" s="6"/>
      <c r="Y66" s="6"/>
      <c r="Z66" s="6"/>
    </row>
    <row r="67" ht="15.75" customHeight="1">
      <c r="A67" s="4">
        <v>65.0</v>
      </c>
      <c r="B67" s="29" t="str">
        <f t="shared" si="4"/>
        <v>#REF!</v>
      </c>
      <c r="C67" s="58" t="s">
        <v>233</v>
      </c>
      <c r="D67" s="30" t="str">
        <f t="shared" si="5"/>
        <v>#REF!</v>
      </c>
      <c r="E67" s="6"/>
      <c r="F67" s="6"/>
      <c r="G67" s="6"/>
      <c r="H67" s="6"/>
      <c r="I67" s="20" t="s">
        <v>232</v>
      </c>
      <c r="J67" s="6" t="s">
        <v>99</v>
      </c>
      <c r="K67" s="8" t="s">
        <v>100</v>
      </c>
      <c r="L67" s="6" t="s">
        <v>84</v>
      </c>
      <c r="M67" s="8" t="s">
        <v>100</v>
      </c>
      <c r="N67" s="6"/>
      <c r="O67" s="6"/>
      <c r="P67" s="6"/>
      <c r="Q67" s="6"/>
      <c r="R67" s="30" t="str">
        <f t="shared" si="6"/>
        <v>#REF!</v>
      </c>
      <c r="S67" s="6"/>
      <c r="T67" s="6"/>
      <c r="U67" s="6"/>
      <c r="V67" s="6"/>
      <c r="W67" s="6"/>
      <c r="X67" s="6"/>
      <c r="Y67" s="6"/>
      <c r="Z67" s="6"/>
    </row>
    <row r="68" ht="15.75" customHeight="1">
      <c r="A68" s="4">
        <v>66.0</v>
      </c>
      <c r="B68" s="29" t="str">
        <f t="shared" si="4"/>
        <v>#REF!</v>
      </c>
      <c r="C68" s="58" t="s">
        <v>234</v>
      </c>
      <c r="D68" s="30" t="str">
        <f t="shared" si="5"/>
        <v>#REF!</v>
      </c>
      <c r="E68" s="6"/>
      <c r="F68" s="6"/>
      <c r="G68" s="6"/>
      <c r="H68" s="6"/>
      <c r="I68" s="20" t="s">
        <v>232</v>
      </c>
      <c r="J68" s="6" t="s">
        <v>99</v>
      </c>
      <c r="K68" s="8" t="s">
        <v>100</v>
      </c>
      <c r="L68" s="6" t="s">
        <v>84</v>
      </c>
      <c r="M68" s="8" t="s">
        <v>100</v>
      </c>
      <c r="N68" s="6"/>
      <c r="O68" s="6"/>
      <c r="P68" s="6"/>
      <c r="Q68" s="6"/>
      <c r="R68" s="30" t="str">
        <f t="shared" si="6"/>
        <v>#REF!</v>
      </c>
      <c r="S68" s="6"/>
      <c r="T68" s="6"/>
      <c r="U68" s="6"/>
      <c r="V68" s="6"/>
      <c r="W68" s="6"/>
      <c r="X68" s="6"/>
      <c r="Y68" s="6"/>
      <c r="Z68" s="6"/>
    </row>
    <row r="69" ht="15.75" customHeight="1">
      <c r="A69" s="4">
        <v>67.0</v>
      </c>
      <c r="B69" s="29" t="str">
        <f t="shared" si="4"/>
        <v>#REF!</v>
      </c>
      <c r="C69" s="60" t="s">
        <v>82</v>
      </c>
      <c r="D69" s="30" t="str">
        <f t="shared" si="5"/>
        <v>#REF!</v>
      </c>
      <c r="E69" s="6"/>
      <c r="F69" s="6"/>
      <c r="G69" s="6"/>
      <c r="H69" s="6"/>
      <c r="I69" s="20" t="s">
        <v>232</v>
      </c>
      <c r="J69" s="6" t="s">
        <v>99</v>
      </c>
      <c r="K69" s="8" t="s">
        <v>100</v>
      </c>
      <c r="L69" s="6" t="s">
        <v>84</v>
      </c>
      <c r="M69" s="8" t="s">
        <v>100</v>
      </c>
      <c r="N69" s="6"/>
      <c r="O69" s="6"/>
      <c r="P69" s="6"/>
      <c r="Q69" s="6"/>
      <c r="R69" s="30" t="str">
        <f t="shared" si="6"/>
        <v>#REF!</v>
      </c>
      <c r="S69" s="6"/>
      <c r="T69" s="6"/>
      <c r="U69" s="6"/>
      <c r="V69" s="6"/>
      <c r="W69" s="6"/>
      <c r="X69" s="6"/>
      <c r="Y69" s="6"/>
      <c r="Z69" s="6"/>
    </row>
    <row r="70" ht="15.75" customHeight="1">
      <c r="A70" s="4">
        <v>68.0</v>
      </c>
      <c r="B70" s="29" t="str">
        <f t="shared" si="4"/>
        <v>#REF!</v>
      </c>
      <c r="C70" s="60" t="s">
        <v>88</v>
      </c>
      <c r="D70" s="30" t="str">
        <f t="shared" si="5"/>
        <v>#REF!</v>
      </c>
      <c r="E70" s="6"/>
      <c r="F70" s="6"/>
      <c r="G70" s="6"/>
      <c r="H70" s="6"/>
      <c r="I70" s="20" t="s">
        <v>232</v>
      </c>
      <c r="J70" s="6" t="s">
        <v>99</v>
      </c>
      <c r="K70" s="8" t="s">
        <v>100</v>
      </c>
      <c r="L70" s="6" t="s">
        <v>84</v>
      </c>
      <c r="M70" s="8" t="s">
        <v>100</v>
      </c>
      <c r="N70" s="6"/>
      <c r="O70" s="6"/>
      <c r="P70" s="6"/>
      <c r="Q70" s="6"/>
      <c r="R70" s="30" t="str">
        <f t="shared" si="6"/>
        <v>#REF!</v>
      </c>
      <c r="S70" s="6"/>
      <c r="T70" s="6"/>
      <c r="U70" s="6"/>
      <c r="V70" s="6"/>
      <c r="W70" s="6"/>
      <c r="X70" s="6"/>
      <c r="Y70" s="6"/>
      <c r="Z70" s="6"/>
    </row>
    <row r="71" ht="15.75" customHeight="1">
      <c r="A71" s="4">
        <v>69.0</v>
      </c>
      <c r="B71" s="29" t="str">
        <f t="shared" si="4"/>
        <v>#REF!</v>
      </c>
      <c r="C71" s="58" t="s">
        <v>175</v>
      </c>
      <c r="D71" s="30" t="str">
        <f t="shared" si="5"/>
        <v>#REF!</v>
      </c>
      <c r="E71" s="6"/>
      <c r="F71" s="6"/>
      <c r="G71" s="6"/>
      <c r="H71" s="6"/>
      <c r="I71" s="20" t="s">
        <v>232</v>
      </c>
      <c r="J71" s="6" t="s">
        <v>99</v>
      </c>
      <c r="K71" s="8" t="s">
        <v>100</v>
      </c>
      <c r="L71" s="6" t="s">
        <v>84</v>
      </c>
      <c r="M71" s="8" t="s">
        <v>100</v>
      </c>
      <c r="N71" s="6"/>
      <c r="O71" s="6"/>
      <c r="P71" s="6"/>
      <c r="Q71" s="6"/>
      <c r="R71" s="30" t="str">
        <f t="shared" si="6"/>
        <v>#REF!</v>
      </c>
      <c r="S71" s="6"/>
      <c r="T71" s="6"/>
      <c r="U71" s="6"/>
      <c r="V71" s="6"/>
      <c r="W71" s="6"/>
      <c r="X71" s="6"/>
      <c r="Y71" s="6"/>
      <c r="Z71" s="6"/>
    </row>
    <row r="72" ht="15.75" customHeight="1">
      <c r="A72" s="4">
        <v>70.0</v>
      </c>
      <c r="B72" s="29" t="str">
        <f t="shared" si="4"/>
        <v>#REF!</v>
      </c>
      <c r="C72" s="58" t="s">
        <v>171</v>
      </c>
      <c r="D72" s="30" t="str">
        <f t="shared" si="5"/>
        <v>#REF!</v>
      </c>
      <c r="E72" s="6"/>
      <c r="F72" s="6"/>
      <c r="G72" s="6"/>
      <c r="H72" s="6"/>
      <c r="I72" s="20" t="s">
        <v>232</v>
      </c>
      <c r="J72" s="6" t="s">
        <v>99</v>
      </c>
      <c r="K72" s="8" t="s">
        <v>100</v>
      </c>
      <c r="L72" s="6" t="s">
        <v>84</v>
      </c>
      <c r="M72" s="8" t="s">
        <v>100</v>
      </c>
      <c r="N72" s="6"/>
      <c r="O72" s="6"/>
      <c r="P72" s="6"/>
      <c r="Q72" s="6"/>
      <c r="R72" s="30" t="str">
        <f t="shared" si="6"/>
        <v>#REF!</v>
      </c>
      <c r="S72" s="6"/>
      <c r="T72" s="6"/>
      <c r="U72" s="6"/>
      <c r="V72" s="6"/>
      <c r="W72" s="6"/>
      <c r="X72" s="6"/>
      <c r="Y72" s="6"/>
      <c r="Z72" s="6"/>
    </row>
    <row r="73" ht="15.75" customHeight="1">
      <c r="A73" s="4">
        <v>71.0</v>
      </c>
      <c r="B73" s="29" t="str">
        <f t="shared" si="4"/>
        <v>#REF!</v>
      </c>
      <c r="C73" s="58" t="s">
        <v>134</v>
      </c>
      <c r="D73" s="30" t="str">
        <f t="shared" si="5"/>
        <v>#REF!</v>
      </c>
      <c r="E73" s="6"/>
      <c r="F73" s="6"/>
      <c r="G73" s="6"/>
      <c r="H73" s="6"/>
      <c r="I73" s="20" t="s">
        <v>136</v>
      </c>
      <c r="J73" s="6" t="s">
        <v>99</v>
      </c>
      <c r="K73" s="8" t="s">
        <v>100</v>
      </c>
      <c r="L73" s="6" t="s">
        <v>137</v>
      </c>
      <c r="M73" s="8" t="s">
        <v>100</v>
      </c>
      <c r="N73" s="6"/>
      <c r="O73" s="6"/>
      <c r="P73" s="6"/>
      <c r="Q73" s="6"/>
      <c r="R73" s="30" t="str">
        <f t="shared" si="6"/>
        <v>#REF!</v>
      </c>
      <c r="S73" s="6"/>
      <c r="T73" s="6"/>
      <c r="U73" s="6"/>
      <c r="V73" s="6"/>
      <c r="W73" s="6"/>
      <c r="X73" s="6"/>
      <c r="Y73" s="6"/>
      <c r="Z73" s="6"/>
    </row>
    <row r="74" ht="15.75" customHeight="1">
      <c r="A74" s="4">
        <v>72.0</v>
      </c>
      <c r="B74" s="29" t="str">
        <f t="shared" si="4"/>
        <v>#REF!</v>
      </c>
      <c r="C74" s="54" t="s">
        <v>139</v>
      </c>
      <c r="D74" s="30" t="str">
        <f t="shared" si="5"/>
        <v>#REF!</v>
      </c>
      <c r="E74" s="6"/>
      <c r="F74" s="6"/>
      <c r="G74" s="6"/>
      <c r="H74" s="6"/>
      <c r="I74" s="20" t="s">
        <v>136</v>
      </c>
      <c r="J74" s="6" t="s">
        <v>99</v>
      </c>
      <c r="K74" s="8" t="s">
        <v>100</v>
      </c>
      <c r="L74" s="6" t="s">
        <v>137</v>
      </c>
      <c r="M74" s="8" t="s">
        <v>100</v>
      </c>
      <c r="N74" s="6"/>
      <c r="O74" s="6"/>
      <c r="P74" s="6"/>
      <c r="Q74" s="6"/>
      <c r="R74" s="30" t="str">
        <f t="shared" si="6"/>
        <v>#REF!</v>
      </c>
      <c r="S74" s="6"/>
      <c r="T74" s="6"/>
      <c r="U74" s="6"/>
      <c r="V74" s="6"/>
      <c r="W74" s="6"/>
      <c r="X74" s="6"/>
      <c r="Y74" s="6"/>
      <c r="Z74" s="6"/>
    </row>
    <row r="75" ht="15.75" customHeight="1">
      <c r="A75" s="4">
        <v>73.0</v>
      </c>
      <c r="B75" s="29" t="str">
        <f t="shared" si="4"/>
        <v>#REF!</v>
      </c>
      <c r="C75" s="58" t="s">
        <v>285</v>
      </c>
      <c r="D75" s="30" t="str">
        <f t="shared" si="5"/>
        <v>#REF!</v>
      </c>
      <c r="E75" s="6"/>
      <c r="F75" s="6"/>
      <c r="G75" s="6"/>
      <c r="H75" s="6"/>
      <c r="I75" s="20" t="s">
        <v>136</v>
      </c>
      <c r="J75" s="6" t="s">
        <v>99</v>
      </c>
      <c r="K75" s="8" t="s">
        <v>100</v>
      </c>
      <c r="L75" s="6" t="s">
        <v>137</v>
      </c>
      <c r="M75" s="8" t="s">
        <v>100</v>
      </c>
      <c r="N75" s="6"/>
      <c r="O75" s="6"/>
      <c r="P75" s="6"/>
      <c r="Q75" s="6"/>
      <c r="R75" s="30" t="str">
        <f t="shared" si="6"/>
        <v>#REF!</v>
      </c>
      <c r="S75" s="6"/>
      <c r="T75" s="6"/>
      <c r="U75" s="6"/>
      <c r="V75" s="6"/>
      <c r="W75" s="6"/>
      <c r="X75" s="6"/>
      <c r="Y75" s="6"/>
      <c r="Z75" s="6"/>
    </row>
    <row r="76" ht="15.75" customHeight="1">
      <c r="A76" s="4">
        <v>74.0</v>
      </c>
      <c r="B76" s="29" t="str">
        <f t="shared" si="4"/>
        <v>#REF!</v>
      </c>
      <c r="C76" s="54" t="s">
        <v>238</v>
      </c>
      <c r="D76" s="30" t="str">
        <f t="shared" si="5"/>
        <v>#REF!</v>
      </c>
      <c r="E76" s="6"/>
      <c r="F76" s="6"/>
      <c r="G76" s="6"/>
      <c r="H76" s="6"/>
      <c r="I76" s="20" t="s">
        <v>136</v>
      </c>
      <c r="J76" s="6" t="s">
        <v>99</v>
      </c>
      <c r="K76" s="8" t="s">
        <v>100</v>
      </c>
      <c r="L76" s="6" t="s">
        <v>137</v>
      </c>
      <c r="M76" s="8" t="s">
        <v>100</v>
      </c>
      <c r="N76" s="6"/>
      <c r="O76" s="6"/>
      <c r="P76" s="6"/>
      <c r="Q76" s="6"/>
      <c r="R76" s="30" t="str">
        <f t="shared" si="6"/>
        <v>#REF!</v>
      </c>
      <c r="S76" s="6"/>
      <c r="T76" s="6"/>
      <c r="U76" s="6"/>
      <c r="V76" s="6"/>
      <c r="W76" s="6"/>
      <c r="X76" s="6"/>
      <c r="Y76" s="6"/>
      <c r="Z76" s="6"/>
    </row>
    <row r="77" ht="15.75" customHeight="1">
      <c r="A77" s="4">
        <v>75.0</v>
      </c>
      <c r="B77" s="29" t="str">
        <f t="shared" si="4"/>
        <v>#REF!</v>
      </c>
      <c r="C77" s="54" t="s">
        <v>239</v>
      </c>
      <c r="D77" s="30" t="str">
        <f t="shared" si="5"/>
        <v>#REF!</v>
      </c>
      <c r="E77" s="6"/>
      <c r="F77" s="6"/>
      <c r="G77" s="6"/>
      <c r="H77" s="6"/>
      <c r="I77" s="20" t="s">
        <v>136</v>
      </c>
      <c r="J77" s="6" t="s">
        <v>99</v>
      </c>
      <c r="K77" s="8" t="s">
        <v>100</v>
      </c>
      <c r="L77" s="6" t="s">
        <v>137</v>
      </c>
      <c r="M77" s="8" t="s">
        <v>100</v>
      </c>
      <c r="N77" s="6"/>
      <c r="O77" s="6"/>
      <c r="P77" s="6"/>
      <c r="Q77" s="6"/>
      <c r="R77" s="30" t="str">
        <f t="shared" si="6"/>
        <v>#REF!</v>
      </c>
      <c r="S77" s="6"/>
      <c r="T77" s="6"/>
      <c r="U77" s="6"/>
      <c r="V77" s="6"/>
      <c r="W77" s="6"/>
      <c r="X77" s="6"/>
      <c r="Y77" s="6"/>
      <c r="Z77" s="6"/>
    </row>
    <row r="78" ht="15.75" customHeight="1">
      <c r="A78" s="4">
        <v>1.0</v>
      </c>
      <c r="B78" s="29" t="str">
        <f t="shared" si="4"/>
        <v>#REF!</v>
      </c>
      <c r="C78" s="54" t="s">
        <v>240</v>
      </c>
      <c r="D78" s="30" t="str">
        <f t="shared" si="5"/>
        <v>#REF!</v>
      </c>
      <c r="E78" s="44"/>
      <c r="F78" s="44"/>
      <c r="G78" s="44"/>
      <c r="H78" s="44"/>
      <c r="I78" s="44" t="s">
        <v>136</v>
      </c>
      <c r="J78" s="44" t="s">
        <v>148</v>
      </c>
      <c r="K78" s="46" t="s">
        <v>149</v>
      </c>
      <c r="L78" s="44"/>
      <c r="M78" s="11"/>
      <c r="N78" s="44"/>
      <c r="O78" s="44"/>
      <c r="P78" s="44"/>
      <c r="Q78" s="44"/>
      <c r="R78" s="30" t="str">
        <f t="shared" si="6"/>
        <v>#REF!</v>
      </c>
      <c r="S78" s="44"/>
      <c r="T78" s="44"/>
      <c r="U78" s="44"/>
      <c r="V78" s="44"/>
      <c r="W78" s="44"/>
      <c r="X78" s="44"/>
      <c r="Y78" s="44"/>
      <c r="Z78" s="44"/>
    </row>
    <row r="79" ht="15.75" customHeight="1">
      <c r="A79" s="4">
        <v>2.0</v>
      </c>
      <c r="B79" s="29" t="str">
        <f t="shared" si="4"/>
        <v>#REF!</v>
      </c>
      <c r="C79" s="54" t="s">
        <v>241</v>
      </c>
      <c r="D79" s="30" t="str">
        <f t="shared" si="5"/>
        <v>#REF!</v>
      </c>
      <c r="E79" s="6"/>
      <c r="F79" s="6"/>
      <c r="G79" s="6"/>
      <c r="H79" s="6"/>
      <c r="I79" s="6" t="s">
        <v>136</v>
      </c>
      <c r="J79" s="6" t="s">
        <v>148</v>
      </c>
      <c r="K79" s="8" t="s">
        <v>149</v>
      </c>
      <c r="L79" s="6"/>
      <c r="M79" s="11"/>
      <c r="N79" s="6"/>
      <c r="O79" s="6"/>
      <c r="P79" s="6"/>
      <c r="Q79" s="6"/>
      <c r="R79" s="30" t="str">
        <f t="shared" si="6"/>
        <v>#REF!</v>
      </c>
      <c r="S79" s="6"/>
      <c r="T79" s="6"/>
      <c r="U79" s="6"/>
      <c r="V79" s="6"/>
      <c r="W79" s="6"/>
      <c r="X79" s="6"/>
      <c r="Y79" s="6"/>
      <c r="Z79" s="6"/>
    </row>
    <row r="80" ht="15.75" customHeight="1">
      <c r="A80" s="4">
        <v>3.0</v>
      </c>
      <c r="B80" s="29" t="str">
        <f t="shared" si="4"/>
        <v>#REF!</v>
      </c>
      <c r="C80" s="57" t="s">
        <v>242</v>
      </c>
      <c r="D80" s="30" t="str">
        <f t="shared" si="5"/>
        <v>#REF!</v>
      </c>
      <c r="E80" s="6"/>
      <c r="F80" s="6"/>
      <c r="G80" s="6"/>
      <c r="H80" s="6"/>
      <c r="I80" s="6" t="s">
        <v>136</v>
      </c>
      <c r="J80" s="6" t="s">
        <v>148</v>
      </c>
      <c r="K80" s="8" t="s">
        <v>149</v>
      </c>
      <c r="L80" s="6"/>
      <c r="M80" s="11"/>
      <c r="N80" s="6"/>
      <c r="O80" s="6"/>
      <c r="P80" s="6"/>
      <c r="Q80" s="6"/>
      <c r="R80" s="30" t="str">
        <f t="shared" si="6"/>
        <v>#REF!</v>
      </c>
      <c r="S80" s="6"/>
      <c r="T80" s="6"/>
      <c r="U80" s="6"/>
      <c r="V80" s="6"/>
      <c r="W80" s="6"/>
      <c r="X80" s="6"/>
      <c r="Y80" s="6"/>
      <c r="Z80" s="6"/>
    </row>
    <row r="81" ht="15.75" customHeight="1">
      <c r="A81" s="4">
        <v>4.0</v>
      </c>
      <c r="B81" s="29" t="str">
        <f t="shared" si="4"/>
        <v>#REF!</v>
      </c>
      <c r="C81" s="58" t="s">
        <v>243</v>
      </c>
      <c r="D81" s="30" t="str">
        <f t="shared" si="5"/>
        <v>#REF!</v>
      </c>
      <c r="E81" s="6"/>
      <c r="F81" s="6"/>
      <c r="G81" s="6"/>
      <c r="H81" s="6"/>
      <c r="I81" s="6" t="s">
        <v>136</v>
      </c>
      <c r="J81" s="6" t="s">
        <v>148</v>
      </c>
      <c r="K81" s="8" t="s">
        <v>149</v>
      </c>
      <c r="L81" s="6"/>
      <c r="M81" s="11"/>
      <c r="N81" s="6"/>
      <c r="O81" s="6"/>
      <c r="P81" s="6"/>
      <c r="Q81" s="6"/>
      <c r="R81" s="30" t="str">
        <f t="shared" si="6"/>
        <v>#REF!</v>
      </c>
      <c r="S81" s="6"/>
      <c r="T81" s="6"/>
      <c r="U81" s="6"/>
      <c r="V81" s="6"/>
      <c r="W81" s="6"/>
      <c r="X81" s="6"/>
      <c r="Y81" s="6"/>
      <c r="Z81" s="6"/>
    </row>
    <row r="82" ht="15.75" customHeight="1">
      <c r="A82" s="4">
        <v>5.0</v>
      </c>
      <c r="B82" s="29" t="str">
        <f t="shared" si="4"/>
        <v>#REF!</v>
      </c>
      <c r="C82" s="58" t="s">
        <v>146</v>
      </c>
      <c r="D82" s="30" t="str">
        <f t="shared" si="5"/>
        <v>#REF!</v>
      </c>
      <c r="E82" s="6"/>
      <c r="F82" s="6"/>
      <c r="G82" s="6"/>
      <c r="H82" s="6"/>
      <c r="I82" s="6" t="s">
        <v>136</v>
      </c>
      <c r="J82" s="6" t="s">
        <v>148</v>
      </c>
      <c r="K82" s="8" t="s">
        <v>149</v>
      </c>
      <c r="L82" s="6"/>
      <c r="M82" s="11"/>
      <c r="N82" s="6"/>
      <c r="O82" s="6"/>
      <c r="P82" s="6"/>
      <c r="Q82" s="6"/>
      <c r="R82" s="30" t="str">
        <f t="shared" si="6"/>
        <v>#REF!</v>
      </c>
      <c r="S82" s="6"/>
      <c r="T82" s="6"/>
      <c r="U82" s="6"/>
      <c r="V82" s="6"/>
      <c r="W82" s="6"/>
      <c r="X82" s="6"/>
      <c r="Y82" s="6"/>
      <c r="Z82" s="6"/>
    </row>
    <row r="83" ht="15.75" customHeight="1">
      <c r="A83" s="4">
        <v>6.0</v>
      </c>
      <c r="B83" s="29" t="str">
        <f t="shared" si="4"/>
        <v>#REF!</v>
      </c>
      <c r="C83" s="57" t="s">
        <v>154</v>
      </c>
      <c r="D83" s="30" t="str">
        <f t="shared" si="5"/>
        <v>#REF!</v>
      </c>
      <c r="E83" s="6"/>
      <c r="F83" s="6"/>
      <c r="G83" s="6"/>
      <c r="H83" s="6"/>
      <c r="I83" s="6" t="s">
        <v>155</v>
      </c>
      <c r="J83" s="6" t="s">
        <v>148</v>
      </c>
      <c r="K83" s="8" t="s">
        <v>149</v>
      </c>
      <c r="L83" s="6"/>
      <c r="M83" s="11"/>
      <c r="N83" s="6"/>
      <c r="O83" s="6"/>
      <c r="P83" s="6"/>
      <c r="Q83" s="6"/>
      <c r="R83" s="30" t="str">
        <f t="shared" si="6"/>
        <v>#REF!</v>
      </c>
      <c r="S83" s="6"/>
      <c r="T83" s="6"/>
      <c r="U83" s="6"/>
      <c r="V83" s="6"/>
      <c r="W83" s="6"/>
      <c r="X83" s="6"/>
      <c r="Y83" s="6"/>
      <c r="Z83" s="6"/>
    </row>
    <row r="84" ht="15.75" customHeight="1">
      <c r="A84" s="4">
        <v>7.0</v>
      </c>
      <c r="B84" s="29" t="str">
        <f t="shared" si="4"/>
        <v>#REF!</v>
      </c>
      <c r="C84" s="54" t="s">
        <v>159</v>
      </c>
      <c r="D84" s="30" t="str">
        <f t="shared" si="5"/>
        <v>#REF!</v>
      </c>
      <c r="E84" s="6"/>
      <c r="F84" s="6"/>
      <c r="G84" s="6"/>
      <c r="H84" s="6"/>
      <c r="I84" s="6" t="s">
        <v>161</v>
      </c>
      <c r="J84" s="6" t="s">
        <v>148</v>
      </c>
      <c r="K84" s="8" t="s">
        <v>149</v>
      </c>
      <c r="L84" s="6"/>
      <c r="M84" s="11"/>
      <c r="N84" s="6"/>
      <c r="O84" s="6"/>
      <c r="P84" s="6"/>
      <c r="Q84" s="6"/>
      <c r="R84" s="30" t="str">
        <f t="shared" si="6"/>
        <v>#REF!</v>
      </c>
      <c r="S84" s="6"/>
      <c r="T84" s="6"/>
      <c r="U84" s="6"/>
      <c r="V84" s="6"/>
      <c r="W84" s="6"/>
      <c r="X84" s="6"/>
      <c r="Y84" s="6"/>
      <c r="Z84" s="6"/>
    </row>
    <row r="85" ht="15.75" customHeight="1">
      <c r="A85" s="4">
        <v>8.0</v>
      </c>
      <c r="B85" s="29" t="str">
        <f t="shared" si="4"/>
        <v>#REF!</v>
      </c>
      <c r="C85" s="57" t="s">
        <v>164</v>
      </c>
      <c r="D85" s="30" t="str">
        <f t="shared" si="5"/>
        <v>#REF!</v>
      </c>
      <c r="E85" s="6"/>
      <c r="F85" s="6"/>
      <c r="G85" s="6"/>
      <c r="H85" s="6"/>
      <c r="I85" s="6" t="s">
        <v>161</v>
      </c>
      <c r="J85" s="6" t="s">
        <v>148</v>
      </c>
      <c r="K85" s="8" t="s">
        <v>149</v>
      </c>
      <c r="L85" s="6"/>
      <c r="M85" s="11"/>
      <c r="N85" s="6"/>
      <c r="O85" s="6"/>
      <c r="P85" s="6"/>
      <c r="Q85" s="6"/>
      <c r="R85" s="30" t="str">
        <f t="shared" si="6"/>
        <v>#REF!</v>
      </c>
      <c r="S85" s="6"/>
      <c r="T85" s="6"/>
      <c r="U85" s="6"/>
      <c r="V85" s="6"/>
      <c r="W85" s="6"/>
      <c r="X85" s="6"/>
      <c r="Y85" s="6"/>
      <c r="Z85" s="6"/>
    </row>
    <row r="86" ht="15.75" customHeight="1">
      <c r="A86" s="4">
        <v>9.0</v>
      </c>
      <c r="B86" s="29" t="str">
        <f t="shared" si="4"/>
        <v>#REF!</v>
      </c>
      <c r="C86" s="57" t="s">
        <v>166</v>
      </c>
      <c r="D86" s="30" t="str">
        <f t="shared" si="5"/>
        <v>#REF!</v>
      </c>
      <c r="E86" s="6"/>
      <c r="F86" s="6"/>
      <c r="G86" s="6"/>
      <c r="H86" s="6"/>
      <c r="I86" s="6" t="s">
        <v>161</v>
      </c>
      <c r="J86" s="6" t="s">
        <v>148</v>
      </c>
      <c r="K86" s="8" t="s">
        <v>149</v>
      </c>
      <c r="L86" s="6"/>
      <c r="M86" s="11"/>
      <c r="N86" s="6"/>
      <c r="O86" s="6"/>
      <c r="P86" s="6"/>
      <c r="Q86" s="6"/>
      <c r="R86" s="30" t="str">
        <f t="shared" si="6"/>
        <v>#REF!</v>
      </c>
      <c r="S86" s="6"/>
      <c r="T86" s="6"/>
      <c r="U86" s="6"/>
      <c r="V86" s="6"/>
      <c r="W86" s="6"/>
      <c r="X86" s="6"/>
      <c r="Y86" s="6"/>
      <c r="Z86" s="6"/>
    </row>
    <row r="87" ht="15.75" customHeight="1">
      <c r="A87" s="4">
        <v>10.0</v>
      </c>
      <c r="B87" s="29" t="str">
        <f t="shared" si="4"/>
        <v>#REF!</v>
      </c>
      <c r="C87" s="58" t="s">
        <v>244</v>
      </c>
      <c r="D87" s="30" t="str">
        <f t="shared" si="5"/>
        <v>#REF!</v>
      </c>
      <c r="E87" s="6"/>
      <c r="F87" s="6"/>
      <c r="G87" s="6"/>
      <c r="H87" s="6"/>
      <c r="I87" s="6" t="s">
        <v>111</v>
      </c>
      <c r="J87" s="6" t="s">
        <v>148</v>
      </c>
      <c r="K87" s="8" t="s">
        <v>149</v>
      </c>
      <c r="L87" s="6"/>
      <c r="M87" s="11"/>
      <c r="N87" s="6"/>
      <c r="O87" s="6"/>
      <c r="P87" s="6"/>
      <c r="Q87" s="6"/>
      <c r="R87" s="30" t="str">
        <f t="shared" si="6"/>
        <v>#REF!</v>
      </c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>
        <v>11.0</v>
      </c>
      <c r="B88" s="29" t="str">
        <f t="shared" si="4"/>
        <v>#REF!</v>
      </c>
      <c r="C88" s="58" t="s">
        <v>245</v>
      </c>
      <c r="D88" s="30" t="str">
        <f t="shared" si="5"/>
        <v>#REF!</v>
      </c>
      <c r="E88" s="6"/>
      <c r="F88" s="6"/>
      <c r="G88" s="6"/>
      <c r="H88" s="6"/>
      <c r="I88" s="6" t="s">
        <v>111</v>
      </c>
      <c r="J88" s="6" t="s">
        <v>148</v>
      </c>
      <c r="K88" s="8" t="s">
        <v>149</v>
      </c>
      <c r="L88" s="6"/>
      <c r="M88" s="11"/>
      <c r="N88" s="6"/>
      <c r="O88" s="6"/>
      <c r="P88" s="6"/>
      <c r="Q88" s="6"/>
      <c r="R88" s="30" t="str">
        <f t="shared" si="6"/>
        <v>#REF!</v>
      </c>
      <c r="S88" s="6"/>
      <c r="T88" s="6"/>
      <c r="U88" s="6"/>
      <c r="V88" s="6"/>
      <c r="W88" s="6"/>
      <c r="X88" s="6"/>
      <c r="Y88" s="6"/>
      <c r="Z88" s="6"/>
    </row>
    <row r="89" ht="15.75" customHeight="1">
      <c r="A89" s="4">
        <v>12.0</v>
      </c>
      <c r="B89" s="29" t="str">
        <f t="shared" si="4"/>
        <v>#REF!</v>
      </c>
      <c r="C89" s="58" t="s">
        <v>246</v>
      </c>
      <c r="D89" s="30" t="str">
        <f t="shared" si="5"/>
        <v>#REF!</v>
      </c>
      <c r="E89" s="6"/>
      <c r="F89" s="6"/>
      <c r="G89" s="6"/>
      <c r="H89" s="6"/>
      <c r="I89" s="6" t="s">
        <v>111</v>
      </c>
      <c r="J89" s="6" t="s">
        <v>148</v>
      </c>
      <c r="K89" s="8" t="s">
        <v>149</v>
      </c>
      <c r="L89" s="6"/>
      <c r="M89" s="11"/>
      <c r="N89" s="6"/>
      <c r="O89" s="6"/>
      <c r="P89" s="6"/>
      <c r="Q89" s="6"/>
      <c r="R89" s="30" t="str">
        <f t="shared" si="6"/>
        <v>#REF!</v>
      </c>
      <c r="S89" s="6"/>
      <c r="T89" s="6"/>
      <c r="U89" s="6"/>
      <c r="V89" s="6"/>
      <c r="W89" s="6"/>
      <c r="X89" s="6"/>
      <c r="Y89" s="6"/>
      <c r="Z89" s="6"/>
    </row>
    <row r="90" ht="15.75" customHeight="1">
      <c r="A90" s="4">
        <v>13.0</v>
      </c>
      <c r="B90" s="29" t="str">
        <f t="shared" si="4"/>
        <v>#REF!</v>
      </c>
      <c r="C90" s="58" t="s">
        <v>247</v>
      </c>
      <c r="D90" s="30" t="str">
        <f t="shared" si="5"/>
        <v>#REF!</v>
      </c>
      <c r="E90" s="6"/>
      <c r="F90" s="6"/>
      <c r="G90" s="6"/>
      <c r="H90" s="6"/>
      <c r="I90" s="6" t="s">
        <v>111</v>
      </c>
      <c r="J90" s="6" t="s">
        <v>148</v>
      </c>
      <c r="K90" s="8" t="s">
        <v>149</v>
      </c>
      <c r="L90" s="6"/>
      <c r="M90" s="11"/>
      <c r="N90" s="6"/>
      <c r="O90" s="6"/>
      <c r="P90" s="6"/>
      <c r="Q90" s="6"/>
      <c r="R90" s="30" t="str">
        <f t="shared" si="6"/>
        <v>#REF!</v>
      </c>
      <c r="S90" s="6"/>
      <c r="T90" s="6"/>
      <c r="U90" s="6"/>
      <c r="V90" s="6"/>
      <c r="W90" s="6"/>
      <c r="X90" s="6"/>
      <c r="Y90" s="6"/>
      <c r="Z90" s="6"/>
    </row>
    <row r="91" ht="15.75" customHeight="1">
      <c r="A91" s="4">
        <v>14.0</v>
      </c>
      <c r="B91" s="29" t="str">
        <f t="shared" si="4"/>
        <v>#REF!</v>
      </c>
      <c r="C91" s="54" t="s">
        <v>248</v>
      </c>
      <c r="D91" s="30" t="str">
        <f t="shared" si="5"/>
        <v>#REF!</v>
      </c>
      <c r="E91" s="6"/>
      <c r="F91" s="6"/>
      <c r="G91" s="6"/>
      <c r="H91" s="6"/>
      <c r="I91" s="6" t="s">
        <v>249</v>
      </c>
      <c r="J91" s="6" t="s">
        <v>148</v>
      </c>
      <c r="K91" s="8" t="s">
        <v>149</v>
      </c>
      <c r="L91" s="6"/>
      <c r="M91" s="11"/>
      <c r="N91" s="6"/>
      <c r="O91" s="6"/>
      <c r="P91" s="6"/>
      <c r="Q91" s="6"/>
      <c r="R91" s="30" t="str">
        <f t="shared" si="6"/>
        <v>#REF!</v>
      </c>
      <c r="S91" s="6"/>
      <c r="T91" s="6"/>
      <c r="U91" s="6"/>
      <c r="V91" s="6"/>
      <c r="W91" s="6"/>
      <c r="X91" s="6"/>
      <c r="Y91" s="6"/>
      <c r="Z91" s="6"/>
    </row>
    <row r="92" ht="15.75" customHeight="1">
      <c r="A92" s="4">
        <v>15.0</v>
      </c>
      <c r="B92" s="29" t="str">
        <f t="shared" si="4"/>
        <v>#REF!</v>
      </c>
      <c r="C92" s="58" t="s">
        <v>250</v>
      </c>
      <c r="D92" s="30" t="str">
        <f t="shared" si="5"/>
        <v>#REF!</v>
      </c>
      <c r="E92" s="6"/>
      <c r="F92" s="6"/>
      <c r="G92" s="6"/>
      <c r="H92" s="6"/>
      <c r="I92" s="6" t="s">
        <v>251</v>
      </c>
      <c r="J92" s="6" t="s">
        <v>148</v>
      </c>
      <c r="K92" s="8" t="s">
        <v>149</v>
      </c>
      <c r="L92" s="6"/>
      <c r="M92" s="11"/>
      <c r="N92" s="6"/>
      <c r="O92" s="6"/>
      <c r="P92" s="6"/>
      <c r="Q92" s="6"/>
      <c r="R92" s="30" t="str">
        <f t="shared" si="6"/>
        <v>#REF!</v>
      </c>
      <c r="S92" s="6"/>
      <c r="T92" s="6"/>
      <c r="U92" s="6"/>
      <c r="V92" s="6"/>
      <c r="W92" s="6"/>
      <c r="X92" s="6"/>
      <c r="Y92" s="6"/>
      <c r="Z92" s="6"/>
    </row>
    <row r="93" ht="15.75" customHeight="1">
      <c r="A93" s="4">
        <v>16.0</v>
      </c>
      <c r="B93" s="29" t="str">
        <f t="shared" si="4"/>
        <v>#REF!</v>
      </c>
      <c r="C93" s="54" t="s">
        <v>252</v>
      </c>
      <c r="D93" s="30" t="str">
        <f t="shared" si="5"/>
        <v>#REF!</v>
      </c>
      <c r="E93" s="6"/>
      <c r="F93" s="6"/>
      <c r="G93" s="6"/>
      <c r="H93" s="6"/>
      <c r="I93" s="6" t="s">
        <v>251</v>
      </c>
      <c r="J93" s="6" t="s">
        <v>148</v>
      </c>
      <c r="K93" s="8" t="s">
        <v>149</v>
      </c>
      <c r="L93" s="6"/>
      <c r="M93" s="11"/>
      <c r="N93" s="6"/>
      <c r="O93" s="6"/>
      <c r="P93" s="6"/>
      <c r="Q93" s="6"/>
      <c r="R93" s="30" t="str">
        <f t="shared" si="6"/>
        <v>#REF!</v>
      </c>
      <c r="S93" s="6"/>
      <c r="T93" s="6"/>
      <c r="U93" s="6"/>
      <c r="V93" s="6"/>
      <c r="W93" s="6"/>
      <c r="X93" s="6"/>
      <c r="Y93" s="6"/>
      <c r="Z93" s="6"/>
    </row>
    <row r="94" ht="15.75" customHeight="1">
      <c r="A94" s="4">
        <v>17.0</v>
      </c>
      <c r="B94" s="29" t="str">
        <f t="shared" si="4"/>
        <v>#REF!</v>
      </c>
      <c r="C94" s="54" t="s">
        <v>253</v>
      </c>
      <c r="D94" s="30" t="str">
        <f t="shared" si="5"/>
        <v>#REF!</v>
      </c>
      <c r="E94" s="6"/>
      <c r="F94" s="6"/>
      <c r="G94" s="6"/>
      <c r="H94" s="6"/>
      <c r="I94" s="6" t="s">
        <v>251</v>
      </c>
      <c r="J94" s="6" t="s">
        <v>148</v>
      </c>
      <c r="K94" s="8" t="s">
        <v>149</v>
      </c>
      <c r="L94" s="6"/>
      <c r="M94" s="11"/>
      <c r="N94" s="6"/>
      <c r="O94" s="6"/>
      <c r="P94" s="6"/>
      <c r="Q94" s="6"/>
      <c r="R94" s="30" t="str">
        <f t="shared" si="6"/>
        <v>#REF!</v>
      </c>
      <c r="S94" s="6"/>
      <c r="T94" s="6"/>
      <c r="U94" s="6"/>
      <c r="V94" s="6"/>
      <c r="W94" s="6"/>
      <c r="X94" s="6"/>
      <c r="Y94" s="6"/>
      <c r="Z94" s="6"/>
    </row>
    <row r="95" ht="15.75" customHeight="1">
      <c r="A95" s="4">
        <v>18.0</v>
      </c>
      <c r="B95" s="29" t="str">
        <f t="shared" si="4"/>
        <v>#REF!</v>
      </c>
      <c r="C95" s="54" t="s">
        <v>254</v>
      </c>
      <c r="D95" s="30" t="str">
        <f t="shared" si="5"/>
        <v>#REF!</v>
      </c>
      <c r="E95" s="6"/>
      <c r="F95" s="6"/>
      <c r="G95" s="6"/>
      <c r="H95" s="6"/>
      <c r="I95" s="6" t="s">
        <v>251</v>
      </c>
      <c r="J95" s="6" t="s">
        <v>148</v>
      </c>
      <c r="K95" s="8" t="s">
        <v>149</v>
      </c>
      <c r="L95" s="6"/>
      <c r="M95" s="11"/>
      <c r="N95" s="6"/>
      <c r="O95" s="6"/>
      <c r="P95" s="6"/>
      <c r="Q95" s="6"/>
      <c r="R95" s="30" t="str">
        <f t="shared" si="6"/>
        <v>#REF!</v>
      </c>
      <c r="S95" s="6"/>
      <c r="T95" s="6"/>
      <c r="U95" s="6"/>
      <c r="V95" s="6"/>
      <c r="W95" s="6"/>
      <c r="X95" s="6"/>
      <c r="Y95" s="6"/>
      <c r="Z95" s="6"/>
    </row>
    <row r="96" ht="15.75" customHeight="1">
      <c r="A96" s="4">
        <v>19.0</v>
      </c>
      <c r="B96" s="29" t="str">
        <f t="shared" si="4"/>
        <v>#REF!</v>
      </c>
      <c r="C96" s="58" t="s">
        <v>255</v>
      </c>
      <c r="D96" s="30" t="str">
        <f t="shared" si="5"/>
        <v>#REF!</v>
      </c>
      <c r="E96" s="6"/>
      <c r="F96" s="6"/>
      <c r="G96" s="6"/>
      <c r="H96" s="6"/>
      <c r="I96" s="6" t="s">
        <v>256</v>
      </c>
      <c r="J96" s="6" t="s">
        <v>148</v>
      </c>
      <c r="K96" s="8" t="s">
        <v>149</v>
      </c>
      <c r="L96" s="6"/>
      <c r="M96" s="11"/>
      <c r="N96" s="6"/>
      <c r="O96" s="6"/>
      <c r="P96" s="6"/>
      <c r="Q96" s="6"/>
      <c r="R96" s="30" t="str">
        <f t="shared" si="6"/>
        <v>#REF!</v>
      </c>
      <c r="S96" s="6"/>
      <c r="T96" s="6"/>
      <c r="U96" s="6"/>
      <c r="V96" s="6"/>
      <c r="W96" s="6"/>
      <c r="X96" s="6"/>
      <c r="Y96" s="6"/>
      <c r="Z96" s="6"/>
    </row>
    <row r="97" ht="15.75" customHeight="1">
      <c r="A97" s="4">
        <v>20.0</v>
      </c>
      <c r="B97" s="29" t="str">
        <f t="shared" si="4"/>
        <v>#REF!</v>
      </c>
      <c r="C97" s="57" t="s">
        <v>257</v>
      </c>
      <c r="D97" s="30" t="str">
        <f t="shared" si="5"/>
        <v>#REF!</v>
      </c>
      <c r="E97" s="6"/>
      <c r="F97" s="6"/>
      <c r="G97" s="6"/>
      <c r="H97" s="6"/>
      <c r="I97" s="6" t="s">
        <v>256</v>
      </c>
      <c r="J97" s="6" t="s">
        <v>148</v>
      </c>
      <c r="K97" s="8" t="s">
        <v>149</v>
      </c>
      <c r="L97" s="6"/>
      <c r="M97" s="11"/>
      <c r="N97" s="6"/>
      <c r="O97" s="6"/>
      <c r="P97" s="6"/>
      <c r="Q97" s="6"/>
      <c r="R97" s="30" t="str">
        <f t="shared" si="6"/>
        <v>#REF!</v>
      </c>
      <c r="S97" s="6"/>
      <c r="T97" s="6"/>
      <c r="U97" s="6"/>
      <c r="V97" s="6"/>
      <c r="W97" s="6"/>
      <c r="X97" s="6"/>
      <c r="Y97" s="6"/>
      <c r="Z97" s="6"/>
    </row>
    <row r="98" ht="15.75" customHeight="1">
      <c r="A98" s="4">
        <v>21.0</v>
      </c>
      <c r="B98" s="29" t="str">
        <f t="shared" si="4"/>
        <v>#REF!</v>
      </c>
      <c r="C98" s="58" t="s">
        <v>259</v>
      </c>
      <c r="D98" s="30" t="str">
        <f t="shared" si="5"/>
        <v>#REF!</v>
      </c>
      <c r="E98" s="6"/>
      <c r="F98" s="6"/>
      <c r="G98" s="6"/>
      <c r="H98" s="6"/>
      <c r="I98" s="6" t="s">
        <v>260</v>
      </c>
      <c r="J98" s="6" t="s">
        <v>261</v>
      </c>
      <c r="K98" s="8" t="s">
        <v>262</v>
      </c>
      <c r="L98" s="6" t="s">
        <v>263</v>
      </c>
      <c r="M98" s="17" t="s">
        <v>262</v>
      </c>
      <c r="N98" s="6"/>
      <c r="O98" s="6"/>
      <c r="P98" s="6"/>
      <c r="Q98" s="6"/>
      <c r="R98" s="30" t="str">
        <f t="shared" si="6"/>
        <v>#REF!</v>
      </c>
      <c r="S98" s="6"/>
      <c r="T98" s="6"/>
      <c r="U98" s="6"/>
      <c r="V98" s="6"/>
      <c r="W98" s="6"/>
      <c r="X98" s="6"/>
      <c r="Y98" s="6"/>
      <c r="Z98" s="6"/>
    </row>
    <row r="99" ht="15.75" customHeight="1">
      <c r="A99" s="4">
        <v>22.0</v>
      </c>
      <c r="B99" s="29" t="str">
        <f t="shared" si="4"/>
        <v>#REF!</v>
      </c>
      <c r="C99" s="58" t="s">
        <v>264</v>
      </c>
      <c r="D99" s="30" t="str">
        <f t="shared" si="5"/>
        <v>#REF!</v>
      </c>
      <c r="E99" s="6"/>
      <c r="F99" s="6"/>
      <c r="G99" s="6"/>
      <c r="H99" s="6"/>
      <c r="I99" s="6" t="s">
        <v>265</v>
      </c>
      <c r="J99" s="6" t="s">
        <v>261</v>
      </c>
      <c r="K99" s="8" t="s">
        <v>262</v>
      </c>
      <c r="L99" s="6" t="s">
        <v>263</v>
      </c>
      <c r="M99" s="17" t="s">
        <v>262</v>
      </c>
      <c r="N99" s="6"/>
      <c r="O99" s="6"/>
      <c r="P99" s="6"/>
      <c r="Q99" s="6"/>
      <c r="R99" s="30" t="str">
        <f t="shared" si="6"/>
        <v>#REF!</v>
      </c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4">
        <v>23.0</v>
      </c>
      <c r="B100" s="29" t="str">
        <f t="shared" si="4"/>
        <v>#REF!</v>
      </c>
      <c r="C100" s="58" t="s">
        <v>266</v>
      </c>
      <c r="D100" s="30" t="str">
        <f t="shared" si="5"/>
        <v>#REF!</v>
      </c>
      <c r="E100" s="6"/>
      <c r="F100" s="6"/>
      <c r="G100" s="6"/>
      <c r="H100" s="6"/>
      <c r="I100" s="6" t="s">
        <v>267</v>
      </c>
      <c r="J100" s="6" t="s">
        <v>261</v>
      </c>
      <c r="K100" s="8" t="s">
        <v>262</v>
      </c>
      <c r="L100" s="6" t="s">
        <v>268</v>
      </c>
      <c r="M100" s="17" t="s">
        <v>262</v>
      </c>
      <c r="N100" s="6"/>
      <c r="O100" s="6"/>
      <c r="P100" s="6"/>
      <c r="Q100" s="6"/>
      <c r="R100" s="30" t="str">
        <f t="shared" si="6"/>
        <v>#REF!</v>
      </c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4">
        <v>24.0</v>
      </c>
      <c r="B101" s="29" t="str">
        <f t="shared" si="4"/>
        <v>#REF!</v>
      </c>
      <c r="C101" s="58" t="s">
        <v>269</v>
      </c>
      <c r="D101" s="30" t="str">
        <f t="shared" si="5"/>
        <v>#REF!</v>
      </c>
      <c r="E101" s="6"/>
      <c r="F101" s="6"/>
      <c r="G101" s="6"/>
      <c r="H101" s="6"/>
      <c r="I101" s="6" t="s">
        <v>111</v>
      </c>
      <c r="J101" s="6" t="s">
        <v>261</v>
      </c>
      <c r="K101" s="8" t="s">
        <v>262</v>
      </c>
      <c r="L101" s="6" t="s">
        <v>113</v>
      </c>
      <c r="M101" s="17" t="s">
        <v>262</v>
      </c>
      <c r="N101" s="6"/>
      <c r="O101" s="6"/>
      <c r="P101" s="6"/>
      <c r="Q101" s="6"/>
      <c r="R101" s="30" t="str">
        <f t="shared" si="6"/>
        <v>#REF!</v>
      </c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4">
        <v>25.0</v>
      </c>
      <c r="B102" s="29" t="str">
        <f t="shared" si="4"/>
        <v>#REF!</v>
      </c>
      <c r="C102" s="58" t="s">
        <v>286</v>
      </c>
      <c r="D102" s="30" t="str">
        <f t="shared" si="5"/>
        <v>#REF!</v>
      </c>
      <c r="E102" s="6"/>
      <c r="F102" s="6"/>
      <c r="G102" s="6"/>
      <c r="H102" s="6"/>
      <c r="I102" s="6" t="s">
        <v>111</v>
      </c>
      <c r="J102" s="6" t="s">
        <v>261</v>
      </c>
      <c r="K102" s="8" t="s">
        <v>262</v>
      </c>
      <c r="L102" s="6" t="s">
        <v>113</v>
      </c>
      <c r="M102" s="17" t="s">
        <v>262</v>
      </c>
      <c r="N102" s="6"/>
      <c r="O102" s="6"/>
      <c r="P102" s="6"/>
      <c r="Q102" s="6"/>
      <c r="R102" s="30" t="str">
        <f t="shared" si="6"/>
        <v>#REF!</v>
      </c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4">
        <v>26.0</v>
      </c>
      <c r="B103" s="29" t="str">
        <f t="shared" si="4"/>
        <v>#REF!</v>
      </c>
      <c r="C103" s="58" t="s">
        <v>271</v>
      </c>
      <c r="D103" s="30" t="str">
        <f t="shared" si="5"/>
        <v>#REF!</v>
      </c>
      <c r="E103" s="6"/>
      <c r="F103" s="6"/>
      <c r="G103" s="6"/>
      <c r="H103" s="6"/>
      <c r="I103" s="6" t="s">
        <v>111</v>
      </c>
      <c r="J103" s="6" t="s">
        <v>261</v>
      </c>
      <c r="K103" s="8" t="s">
        <v>262</v>
      </c>
      <c r="L103" s="6" t="s">
        <v>113</v>
      </c>
      <c r="M103" s="17" t="s">
        <v>262</v>
      </c>
      <c r="N103" s="6"/>
      <c r="O103" s="6"/>
      <c r="P103" s="6"/>
      <c r="Q103" s="6"/>
      <c r="R103" s="30" t="str">
        <f t="shared" si="6"/>
        <v>#REF!</v>
      </c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4">
        <v>27.0</v>
      </c>
      <c r="B104" s="29" t="str">
        <f t="shared" si="4"/>
        <v>#REF!</v>
      </c>
      <c r="C104" s="58" t="s">
        <v>287</v>
      </c>
      <c r="D104" s="30" t="str">
        <f t="shared" si="5"/>
        <v>#REF!</v>
      </c>
      <c r="E104" s="6"/>
      <c r="F104" s="6"/>
      <c r="G104" s="6"/>
      <c r="H104" s="6"/>
      <c r="I104" s="6" t="s">
        <v>111</v>
      </c>
      <c r="J104" s="6" t="s">
        <v>261</v>
      </c>
      <c r="K104" s="8" t="s">
        <v>262</v>
      </c>
      <c r="L104" s="6" t="s">
        <v>113</v>
      </c>
      <c r="M104" s="17" t="s">
        <v>262</v>
      </c>
      <c r="N104" s="6"/>
      <c r="O104" s="6"/>
      <c r="P104" s="6"/>
      <c r="Q104" s="6"/>
      <c r="R104" s="30" t="str">
        <f t="shared" si="6"/>
        <v>#REF!</v>
      </c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4">
        <v>28.0</v>
      </c>
      <c r="B105" s="29" t="str">
        <f t="shared" si="4"/>
        <v>#REF!</v>
      </c>
      <c r="C105" s="58" t="s">
        <v>288</v>
      </c>
      <c r="D105" s="30" t="str">
        <f t="shared" si="5"/>
        <v>#REF!</v>
      </c>
      <c r="E105" s="6"/>
      <c r="F105" s="6"/>
      <c r="G105" s="6"/>
      <c r="H105" s="6"/>
      <c r="I105" s="6" t="s">
        <v>274</v>
      </c>
      <c r="J105" s="6" t="s">
        <v>261</v>
      </c>
      <c r="K105" s="8" t="s">
        <v>262</v>
      </c>
      <c r="L105" s="6" t="s">
        <v>275</v>
      </c>
      <c r="M105" s="17" t="s">
        <v>262</v>
      </c>
      <c r="N105" s="6"/>
      <c r="O105" s="6"/>
      <c r="P105" s="6"/>
      <c r="Q105" s="6"/>
      <c r="R105" s="30" t="str">
        <f t="shared" si="6"/>
        <v>#REF!</v>
      </c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4">
        <v>29.0</v>
      </c>
      <c r="B106" s="29" t="str">
        <f t="shared" si="4"/>
        <v>#REF!</v>
      </c>
      <c r="C106" s="58" t="s">
        <v>276</v>
      </c>
      <c r="D106" s="30" t="str">
        <f t="shared" si="5"/>
        <v>#REF!</v>
      </c>
      <c r="E106" s="6"/>
      <c r="F106" s="6"/>
      <c r="G106" s="6"/>
      <c r="H106" s="6"/>
      <c r="I106" s="6" t="s">
        <v>277</v>
      </c>
      <c r="J106" s="6" t="s">
        <v>261</v>
      </c>
      <c r="K106" s="8" t="s">
        <v>262</v>
      </c>
      <c r="L106" s="6" t="s">
        <v>275</v>
      </c>
      <c r="M106" s="17" t="s">
        <v>262</v>
      </c>
      <c r="N106" s="6"/>
      <c r="O106" s="6"/>
      <c r="P106" s="6"/>
      <c r="Q106" s="6"/>
      <c r="R106" s="30" t="str">
        <f t="shared" si="6"/>
        <v>#REF!</v>
      </c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4">
        <v>30.0</v>
      </c>
      <c r="B107" s="29" t="str">
        <f t="shared" si="4"/>
        <v>#REF!</v>
      </c>
      <c r="C107" s="58" t="s">
        <v>278</v>
      </c>
      <c r="D107" s="30" t="str">
        <f t="shared" si="5"/>
        <v>#REF!</v>
      </c>
      <c r="E107" s="6"/>
      <c r="F107" s="6"/>
      <c r="G107" s="6"/>
      <c r="H107" s="6"/>
      <c r="I107" s="6" t="s">
        <v>274</v>
      </c>
      <c r="J107" s="6" t="s">
        <v>261</v>
      </c>
      <c r="K107" s="8" t="s">
        <v>262</v>
      </c>
      <c r="L107" s="6" t="s">
        <v>275</v>
      </c>
      <c r="M107" s="17" t="s">
        <v>262</v>
      </c>
      <c r="N107" s="6"/>
      <c r="O107" s="6"/>
      <c r="P107" s="6"/>
      <c r="Q107" s="6"/>
      <c r="R107" s="30" t="str">
        <f t="shared" si="6"/>
        <v>#REF!</v>
      </c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1" t="s">
        <v>289</v>
      </c>
      <c r="D108" s="6"/>
      <c r="E108" s="17" t="s">
        <v>290</v>
      </c>
      <c r="F108" s="6"/>
      <c r="G108" s="6" t="s">
        <v>291</v>
      </c>
      <c r="H108" s="6"/>
      <c r="I108" s="6" t="s">
        <v>111</v>
      </c>
      <c r="J108" s="6"/>
      <c r="K108" s="6"/>
      <c r="L108" s="6"/>
      <c r="M108" s="6"/>
      <c r="N108" s="17" t="s">
        <v>292</v>
      </c>
      <c r="O108" s="17" t="s">
        <v>293</v>
      </c>
      <c r="P108" s="6" t="s">
        <v>294</v>
      </c>
      <c r="Q108" s="6"/>
      <c r="R108" s="30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2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30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2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30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29"/>
      <c r="C111" s="62" t="s">
        <v>188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30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1" t="s">
        <v>139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30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2" t="s">
        <v>252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30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1" t="s">
        <v>295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30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2" t="s">
        <v>94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30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1" t="s">
        <v>248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30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2" t="s">
        <v>253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30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1" t="s">
        <v>230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30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2" t="s">
        <v>254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30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1" t="s">
        <v>117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30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2" t="s">
        <v>73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30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1" t="s">
        <v>156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30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2" t="s">
        <v>159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30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1" t="s">
        <v>241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30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2" t="s">
        <v>231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30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1" t="s">
        <v>238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30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2" t="s">
        <v>240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30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1" t="s">
        <v>296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30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2" t="s">
        <v>239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30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1" t="s">
        <v>147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30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2" t="s">
        <v>282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30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1" t="s">
        <v>105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30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2" t="s">
        <v>255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30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1" t="s">
        <v>127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30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2" t="s">
        <v>183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30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1" t="s">
        <v>284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30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2" t="s">
        <v>271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30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1" t="s">
        <v>289</v>
      </c>
      <c r="D138" s="6"/>
      <c r="E138" s="17" t="s">
        <v>290</v>
      </c>
      <c r="F138" s="6"/>
      <c r="G138" s="6" t="s">
        <v>291</v>
      </c>
      <c r="H138" s="6"/>
      <c r="I138" s="6" t="s">
        <v>111</v>
      </c>
      <c r="J138" s="6"/>
      <c r="K138" s="6"/>
      <c r="L138" s="6"/>
      <c r="M138" s="6"/>
      <c r="N138" s="17" t="s">
        <v>292</v>
      </c>
      <c r="O138" s="17" t="s">
        <v>293</v>
      </c>
      <c r="P138" s="6" t="s">
        <v>294</v>
      </c>
      <c r="Q138" s="6"/>
      <c r="R138" s="30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2" t="s">
        <v>246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30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1" t="s">
        <v>276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30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2" t="s">
        <v>288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30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1" t="s">
        <v>209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30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2" t="s">
        <v>176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30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1" t="s">
        <v>269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30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2" t="s">
        <v>82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30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1" t="s">
        <v>233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30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2" t="s">
        <v>175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30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1" t="s">
        <v>234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30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2" t="s">
        <v>247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30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1" t="s">
        <v>244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30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2" t="s">
        <v>171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30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1" t="s">
        <v>146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30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2" t="s">
        <v>208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30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1" t="s">
        <v>220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30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2" t="s">
        <v>211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30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1" t="s">
        <v>250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30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2" t="s">
        <v>285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30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1" t="s">
        <v>278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30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2" t="s">
        <v>259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30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1" t="s">
        <v>198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30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2" t="s">
        <v>223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30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1" t="s">
        <v>201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30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2" t="s">
        <v>223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30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1" t="s">
        <v>78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30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2" t="s">
        <v>78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30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1" t="s">
        <v>134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30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2" t="s">
        <v>179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30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1" t="s">
        <v>286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30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2" t="s">
        <v>229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30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1" t="s">
        <v>245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30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2" t="s">
        <v>88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30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1" t="s">
        <v>243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30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2" t="s">
        <v>264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30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1" t="s">
        <v>192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30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2" t="s">
        <v>216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30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1" t="s">
        <v>287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30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2" t="s">
        <v>215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30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1" t="s">
        <v>212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30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2" t="s">
        <v>222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30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1" t="s">
        <v>266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30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3" t="s">
        <v>131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30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